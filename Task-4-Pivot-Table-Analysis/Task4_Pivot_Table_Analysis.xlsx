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leaned_ecommerce_sales" sheetId="1" state="visible" r:id="rId2"/>
    <sheet name="Pivot_Product_Revenue" sheetId="2" state="visible" r:id="rId3"/>
    <sheet name="Pivot_Quantity_Category" sheetId="3" state="visible" r:id="rId4"/>
    <sheet name="Pivot_Region" sheetId="4" state="visible" r:id="rId5"/>
    <sheet name="Pivot_Category" sheetId="5" state="visible" r:id="rId6"/>
    <sheet name="Dashboard" sheetId="6" state="visible" r:id="rId7"/>
    <sheet name="Task4_Insights" sheetId="7" state="visible" r:id="rId8"/>
  </sheets>
  <calcPr iterateCount="100" refMode="A1" iterate="false" iterateDelta="0.001"/>
  <pivotCaches>
    <pivotCache cacheId="1" r:id="rId10"/>
    <pivotCache cacheId="2" r:id="rId11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<sst xmlns="http://schemas.openxmlformats.org/spreadsheetml/2006/main" count="198" uniqueCount="108">
  <si>
    <t xml:space="preserve">order_id</t>
  </si>
  <si>
    <t xml:space="preserve">customer_name</t>
  </si>
  <si>
    <t xml:space="preserve">product</t>
  </si>
  <si>
    <t xml:space="preserve">category</t>
  </si>
  <si>
    <t xml:space="preserve">quantity</t>
  </si>
  <si>
    <t xml:space="preserve">unit_price</t>
  </si>
  <si>
    <t xml:space="preserve">order_date</t>
  </si>
  <si>
    <t xml:space="preserve">region</t>
  </si>
  <si>
    <t xml:space="preserve">revenue</t>
  </si>
  <si>
    <t xml:space="preserve">ORD001</t>
  </si>
  <si>
    <t xml:space="preserve">Rahul Sharma</t>
  </si>
  <si>
    <t xml:space="preserve">Laptop</t>
  </si>
  <si>
    <t xml:space="preserve">Electronics</t>
  </si>
  <si>
    <t xml:space="preserve">2026-01-05</t>
  </si>
  <si>
    <t xml:space="preserve">South</t>
  </si>
  <si>
    <t xml:space="preserve">ORD002</t>
  </si>
  <si>
    <t xml:space="preserve">Priya Reddy</t>
  </si>
  <si>
    <t xml:space="preserve">Wireless Mouse</t>
  </si>
  <si>
    <t xml:space="preserve">2026-01-06</t>
  </si>
  <si>
    <t xml:space="preserve">ORD003</t>
  </si>
  <si>
    <t xml:space="preserve">Arjun Kumar</t>
  </si>
  <si>
    <t xml:space="preserve">Keyboard</t>
  </si>
  <si>
    <t xml:space="preserve">2026-01-07</t>
  </si>
  <si>
    <t xml:space="preserve">ORD004</t>
  </si>
  <si>
    <t xml:space="preserve">Unknown</t>
  </si>
  <si>
    <t xml:space="preserve">Monitor</t>
  </si>
  <si>
    <t xml:space="preserve">2026-01-15</t>
  </si>
  <si>
    <t xml:space="preserve">North</t>
  </si>
  <si>
    <t xml:space="preserve">ORD005</t>
  </si>
  <si>
    <t xml:space="preserve">Sneha Rao</t>
  </si>
  <si>
    <t xml:space="preserve">2026-01-09</t>
  </si>
  <si>
    <t xml:space="preserve">ORD006</t>
  </si>
  <si>
    <t xml:space="preserve">Vikram Singh</t>
  </si>
  <si>
    <t xml:space="preserve">Office Chair</t>
  </si>
  <si>
    <t xml:space="preserve">Furniture</t>
  </si>
  <si>
    <t xml:space="preserve">2026-01-10</t>
  </si>
  <si>
    <t xml:space="preserve">West</t>
  </si>
  <si>
    <t xml:space="preserve">ORD007</t>
  </si>
  <si>
    <t xml:space="preserve">Ananya Reddy</t>
  </si>
  <si>
    <t xml:space="preserve">ORD008</t>
  </si>
  <si>
    <t xml:space="preserve">Kiran Patel</t>
  </si>
  <si>
    <t xml:space="preserve">Headphones</t>
  </si>
  <si>
    <t xml:space="preserve">2026-01-12</t>
  </si>
  <si>
    <t xml:space="preserve">East</t>
  </si>
  <si>
    <t xml:space="preserve">ORD009</t>
  </si>
  <si>
    <t xml:space="preserve">Uncategorized</t>
  </si>
  <si>
    <t xml:space="preserve">ORD010</t>
  </si>
  <si>
    <t xml:space="preserve">Meena Das</t>
  </si>
  <si>
    <t xml:space="preserve">2026-01-14</t>
  </si>
  <si>
    <t xml:space="preserve">ORD011</t>
  </si>
  <si>
    <t xml:space="preserve">Ravi Kumar</t>
  </si>
  <si>
    <t xml:space="preserve">ORD012</t>
  </si>
  <si>
    <t xml:space="preserve">2026-01-16</t>
  </si>
  <si>
    <t xml:space="preserve">ORD013</t>
  </si>
  <si>
    <t xml:space="preserve">Amit Shah</t>
  </si>
  <si>
    <t xml:space="preserve">2026-01-17</t>
  </si>
  <si>
    <t xml:space="preserve">ORD014</t>
  </si>
  <si>
    <t xml:space="preserve">Neha Verma</t>
  </si>
  <si>
    <t xml:space="preserve">ORD015</t>
  </si>
  <si>
    <t xml:space="preserve">Rohit Mehta</t>
  </si>
  <si>
    <t xml:space="preserve">2026-01-19</t>
  </si>
  <si>
    <t xml:space="preserve">ORD017</t>
  </si>
  <si>
    <t xml:space="preserve">Divya Nair</t>
  </si>
  <si>
    <t xml:space="preserve">2026-01-21</t>
  </si>
  <si>
    <t xml:space="preserve">ORD018</t>
  </si>
  <si>
    <t xml:space="preserve">Suresh Babu</t>
  </si>
  <si>
    <t xml:space="preserve">2026-01-22</t>
  </si>
  <si>
    <t xml:space="preserve">ORD019</t>
  </si>
  <si>
    <t xml:space="preserve">Pooja Singh</t>
  </si>
  <si>
    <t xml:space="preserve">2026-01-23</t>
  </si>
  <si>
    <t xml:space="preserve">ORD020</t>
  </si>
  <si>
    <t xml:space="preserve">Anil Kumar</t>
  </si>
  <si>
    <t xml:space="preserve">2026-01-24</t>
  </si>
  <si>
    <t xml:space="preserve">Sum - revenue</t>
  </si>
  <si>
    <t xml:space="preserve">Total Result</t>
  </si>
  <si>
    <t xml:space="preserve">Sum - quantity</t>
  </si>
  <si>
    <t xml:space="preserve">E-Commerce Sales Dashboard </t>
  </si>
  <si>
    <t xml:space="preserve">CodeOrbit Tech – Data Analyst Internship | Task 3 </t>
  </si>
  <si>
    <t xml:space="preserve">Total Revenue</t>
  </si>
  <si>
    <t xml:space="preserve">Total Orders </t>
  </si>
  <si>
    <t xml:space="preserve">Total Quantity Sold</t>
  </si>
  <si>
    <t xml:space="preserve">Average Order Value</t>
  </si>
  <si>
    <t xml:space="preserve">Revenue by Category</t>
  </si>
  <si>
    <t xml:space="preserve">Top 5 Products by Revenue </t>
  </si>
  <si>
    <t xml:space="preserve">Category</t>
  </si>
  <si>
    <t xml:space="preserve">Revenue </t>
  </si>
  <si>
    <t xml:space="preserve">Product </t>
  </si>
  <si>
    <t xml:space="preserve">Revenue</t>
  </si>
  <si>
    <t xml:space="preserve">Revenue by Region</t>
  </si>
  <si>
    <t xml:space="preserve">Monthly Revenue Trend</t>
  </si>
  <si>
    <t xml:space="preserve"> </t>
  </si>
  <si>
    <t xml:space="preserve">Region</t>
  </si>
  <si>
    <t xml:space="preserve">Month</t>
  </si>
  <si>
    <t xml:space="preserve">January</t>
  </si>
  <si>
    <t xml:space="preserve">Pivot Table Analysis</t>
  </si>
  <si>
    <t xml:space="preserve">Key Business Insights</t>
  </si>
  <si>
    <t xml:space="preserve">Total revenue generated was ₹395,700 from 19 orders and 43 units sold.</t>
  </si>
  <si>
    <t xml:space="preserve">Electronics generated the highest category revenue at ₹358,100, while Furniture generated ₹34,000.</t>
  </si>
  <si>
    <t xml:space="preserve">South region generated the highest regional revenue at ₹258,700, followed by North at ₹82,000.</t>
  </si>
  <si>
    <t xml:space="preserve">Laptop generated the highest product revenue at ₹227,000.</t>
  </si>
  <si>
    <t xml:space="preserve">Keyboard generated ₹16,200, while Wireless Mouse generated ₹12,000.</t>
  </si>
  <si>
    <t xml:space="preserve">Uncategorized products contributed ₹3,600 in revenue, indicating that some records may benefit from improved category classification.</t>
  </si>
  <si>
    <t xml:space="preserve">Validation Checks</t>
  </si>
  <si>
    <t xml:space="preserve">Category revenue total = ₹395,700 ✅</t>
  </si>
  <si>
    <t xml:space="preserve">Region revenue total = ₹395,700 ✅</t>
  </si>
  <si>
    <t xml:space="preserve">Product revenue total = ₹395,700 ✅</t>
  </si>
  <si>
    <t xml:space="preserve">Category quantity total = 43 units ✅</t>
  </si>
  <si>
    <t xml:space="preserve">All four pivot tables reconcile to the dataset totals. 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</si>
</sst>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₹-4009]#,##0.00;[RED]\-[$₹-4009]#,##0.00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3"/>
      <name val="Times New Roman"/>
      <family val="1"/>
    </font>
    <font>
      <b val="true"/>
      <sz val="11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16" fillId="0" borderId="0" applyFont="true" applyBorder="false" applyAlignment="true" applyProtection="false">
      <alignment horizontal="left" vertical="bottom" textRotation="0" wrapText="false" indent="0" shrinkToFit="false"/>
    </xf>
    <xf numFmtId="164" fontId="16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5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16" fillId="0" borderId="1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  <cellStyle name="Pivot Table Corner" xfId="37"/>
    <cellStyle name="Pivot Table Value" xfId="38"/>
    <cellStyle name="Pivot Table Field" xfId="39"/>
    <cellStyle name="Pivot Table Category" xfId="40"/>
    <cellStyle name="Pivot Table Title" xfId="41"/>
    <cellStyle name="Pivot Table Result" xfId="42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Dashboard!$B$9:$B$9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[$₹-4009]#,##0.00;[RED]\-[$₹-4009]#,##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Dashboard!$A$10:$A$12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Uncategorized</c:v>
                </c:pt>
              </c:strCache>
            </c:strRef>
          </c:cat>
          <c:val>
            <c:numRef>
              <c:f>Dashboard!$B$10:$B$12</c:f>
              <c:numCache>
                <c:formatCode>General</c:formatCode>
                <c:ptCount val="3"/>
                <c:pt idx="0">
                  <c:v>358100</c:v>
                </c:pt>
                <c:pt idx="1">
                  <c:v>34000</c:v>
                </c:pt>
                <c:pt idx="2">
                  <c:v>3600</c:v>
                </c:pt>
              </c:numCache>
            </c:numRef>
          </c:val>
        </c:ser>
        <c:gapWidth val="100"/>
        <c:overlap val="0"/>
        <c:axId val="34240751"/>
        <c:axId val="16834462"/>
      </c:barChart>
      <c:catAx>
        <c:axId val="34240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834462"/>
        <c:crosses val="autoZero"/>
        <c:auto val="1"/>
        <c:lblAlgn val="ctr"/>
        <c:lblOffset val="100"/>
      </c:catAx>
      <c:valAx>
        <c:axId val="1683446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₹-4009]#,##0.00;[RED]\-[$₹-4009]#,##0.0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40751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Dashboard!$B$40:$B$40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[$₹-4009]#,##0.00;[RED]\-[$₹-4009]#,##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Dashboard!$A$41:$A$44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Dashboard!$B$41:$B$44</c:f>
              <c:numCache>
                <c:formatCode>General</c:formatCode>
                <c:ptCount val="4"/>
                <c:pt idx="0">
                  <c:v>258700</c:v>
                </c:pt>
                <c:pt idx="1">
                  <c:v>82000</c:v>
                </c:pt>
                <c:pt idx="2">
                  <c:v>21000</c:v>
                </c:pt>
                <c:pt idx="3">
                  <c:v>34000</c:v>
                </c:pt>
              </c:numCache>
            </c:numRef>
          </c:val>
        </c:ser>
        <c:gapWidth val="100"/>
        <c:overlap val="0"/>
        <c:axId val="65750188"/>
        <c:axId val="24671110"/>
      </c:barChart>
      <c:catAx>
        <c:axId val="657501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671110"/>
        <c:crosses val="autoZero"/>
        <c:auto val="1"/>
        <c:lblAlgn val="ctr"/>
        <c:lblOffset val="100"/>
      </c:catAx>
      <c:valAx>
        <c:axId val="2467111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₹-4009]#,##0.00;[RED]\-[$₹-4009]#,##0.0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750188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Dashboard!$G$10:$G$14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Office Chair</c:v>
                </c:pt>
                <c:pt idx="3">
                  <c:v>Headphones</c:v>
                </c:pt>
                <c:pt idx="4">
                  <c:v>Keyboard</c:v>
                </c:pt>
              </c:strCache>
            </c:strRef>
          </c:cat>
          <c:val>
            <c:numRef>
              <c:f>Dashboard!$H$10:$H$14</c:f>
              <c:numCache>
                <c:formatCode>General</c:formatCode>
                <c:ptCount val="5"/>
                <c:pt idx="0">
                  <c:v>227000</c:v>
                </c:pt>
                <c:pt idx="1">
                  <c:v>75000</c:v>
                </c:pt>
                <c:pt idx="2">
                  <c:v>34000</c:v>
                </c:pt>
                <c:pt idx="3">
                  <c:v>31500</c:v>
                </c:pt>
                <c:pt idx="4">
                  <c:v>16200</c:v>
                </c:pt>
              </c:numCache>
            </c:numRef>
          </c:val>
        </c:ser>
        <c:gapWidth val="100"/>
        <c:overlap val="0"/>
        <c:axId val="43257834"/>
        <c:axId val="29279250"/>
      </c:barChart>
      <c:catAx>
        <c:axId val="432578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279250"/>
        <c:crosses val="autoZero"/>
        <c:auto val="1"/>
        <c:lblAlgn val="ctr"/>
        <c:lblOffset val="100"/>
      </c:catAx>
      <c:valAx>
        <c:axId val="2927925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257834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Dashboard!$H$40:$H$40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[$₹-4009]#,##0.00;[RED]\-[$₹-4009]#,##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Dashboard!$G$41:$G$41</c:f>
              <c:strCache>
                <c:ptCount val="1"/>
                <c:pt idx="0">
                  <c:v>January</c:v>
                </c:pt>
              </c:strCache>
            </c:strRef>
          </c:cat>
          <c:val>
            <c:numRef>
              <c:f>Dashboard!$H$41:$H$41</c:f>
              <c:numCache>
                <c:formatCode>General</c:formatCode>
                <c:ptCount val="1"/>
                <c:pt idx="0">
                  <c:v>395700</c:v>
                </c:pt>
              </c:numCache>
            </c:numRef>
          </c:val>
        </c:ser>
        <c:gapWidth val="100"/>
        <c:overlap val="0"/>
        <c:axId val="41053179"/>
        <c:axId val="39736450"/>
      </c:barChart>
      <c:catAx>
        <c:axId val="410531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736450"/>
        <c:crosses val="autoZero"/>
        <c:auto val="1"/>
        <c:lblAlgn val="ctr"/>
        <c:lblOffset val="100"/>
      </c:catAx>
      <c:valAx>
        <c:axId val="3973645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[$₹-4009]#,##0.00;[RED]\-[$₹-4009]#,##0.0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053179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269640</xdr:colOff>
      <xdr:row>12</xdr:row>
      <xdr:rowOff>84960</xdr:rowOff>
    </xdr:from>
    <xdr:to>
      <xdr:col>0</xdr:col>
      <xdr:colOff>3668400</xdr:colOff>
      <xdr:row>24</xdr:row>
      <xdr:rowOff>45720</xdr:rowOff>
    </xdr:to>
    <xdr:graphicFrame>
      <xdr:nvGraphicFramePr>
        <xdr:cNvPr id="0" name=""/>
        <xdr:cNvGraphicFramePr/>
      </xdr:nvGraphicFramePr>
      <xdr:xfrm>
        <a:off x="269640" y="2251440"/>
        <a:ext cx="3398760" cy="191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81000</xdr:colOff>
      <xdr:row>47</xdr:row>
      <xdr:rowOff>105480</xdr:rowOff>
    </xdr:from>
    <xdr:to>
      <xdr:col>0</xdr:col>
      <xdr:colOff>3809520</xdr:colOff>
      <xdr:row>57</xdr:row>
      <xdr:rowOff>157680</xdr:rowOff>
    </xdr:to>
    <xdr:graphicFrame>
      <xdr:nvGraphicFramePr>
        <xdr:cNvPr id="1" name=""/>
        <xdr:cNvGraphicFramePr/>
      </xdr:nvGraphicFramePr>
      <xdr:xfrm>
        <a:off x="81000" y="7961400"/>
        <a:ext cx="3728520" cy="167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786600</xdr:colOff>
      <xdr:row>18</xdr:row>
      <xdr:rowOff>148320</xdr:rowOff>
    </xdr:from>
    <xdr:to>
      <xdr:col>8</xdr:col>
      <xdr:colOff>695160</xdr:colOff>
      <xdr:row>33</xdr:row>
      <xdr:rowOff>22320</xdr:rowOff>
    </xdr:to>
    <xdr:graphicFrame>
      <xdr:nvGraphicFramePr>
        <xdr:cNvPr id="2" name=""/>
        <xdr:cNvGraphicFramePr/>
      </xdr:nvGraphicFramePr>
      <xdr:xfrm>
        <a:off x="8027280" y="3290040"/>
        <a:ext cx="3290040" cy="231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303480</xdr:colOff>
      <xdr:row>44</xdr:row>
      <xdr:rowOff>152640</xdr:rowOff>
    </xdr:from>
    <xdr:to>
      <xdr:col>9</xdr:col>
      <xdr:colOff>402480</xdr:colOff>
      <xdr:row>59</xdr:row>
      <xdr:rowOff>129240</xdr:rowOff>
    </xdr:to>
    <xdr:graphicFrame>
      <xdr:nvGraphicFramePr>
        <xdr:cNvPr id="3" name=""/>
        <xdr:cNvGraphicFramePr/>
      </xdr:nvGraphicFramePr>
      <xdr:xfrm>
        <a:off x="7544160" y="7521120"/>
        <a:ext cx="4293360" cy="241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" createdVersion="3">
  <cacheSource type="worksheet">
    <worksheetSource ref="D1:I20" sheet="cleaned_ecommerce_sales"/>
  </cacheSource>
  <cacheFields count="6">
    <cacheField name="category" numFmtId="0">
      <sharedItems count="3">
        <s v="Electronics"/>
        <s v="Furniture"/>
        <s v="Uncategorized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_price" numFmtId="0">
      <sharedItems containsSemiMixedTypes="0" containsString="0" containsNumber="1" containsInteger="1" minValue="1200" maxValue="55000" count="6">
        <n v="1200"/>
        <n v="1800"/>
        <n v="3500"/>
        <n v="8500"/>
        <n v="15000"/>
        <n v="55000"/>
      </sharedItems>
    </cacheField>
    <cacheField name="order_date" numFmtId="0">
      <sharedItems count="15">
        <s v="2026-01-05"/>
        <s v="2026-01-06"/>
        <s v="2026-01-07"/>
        <s v="2026-01-09"/>
        <s v="2026-01-10"/>
        <s v="2026-01-12"/>
        <s v="2026-01-14"/>
        <s v="2026-01-15"/>
        <s v="2026-01-16"/>
        <s v="2026-01-17"/>
        <s v="2026-01-19"/>
        <s v="2026-01-21"/>
        <s v="2026-01-22"/>
        <s v="2026-01-23"/>
        <s v="2026-01-24"/>
      </sharedItems>
    </cacheField>
    <cacheField name="region" numFmtId="0">
      <sharedItems count="4">
        <s v="East"/>
        <s v="North"/>
        <s v="South"/>
        <s v="West"/>
      </sharedItems>
    </cacheField>
    <cacheField name="revenue" numFmtId="0">
      <sharedItems containsSemiMixedTypes="0" containsString="0" containsNumber="1" containsInteger="1" minValue="2400" maxValue="110000" count="14">
        <n v="2400"/>
        <n v="3600"/>
        <n v="5400"/>
        <n v="6000"/>
        <n v="7000"/>
        <n v="7200"/>
        <n v="8500"/>
        <n v="10500"/>
        <n v="14000"/>
        <n v="15000"/>
        <n v="17000"/>
        <n v="30000"/>
        <n v="55000"/>
        <n v="1100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9" createdVersion="3">
  <cacheSource type="worksheet">
    <worksheetSource ref="A1:I20" sheet="cleaned_ecommerce_sales"/>
  </cacheSource>
  <cacheFields count="9">
    <cacheField name="order_id" numFmtId="0">
      <sharedItems count="19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7"/>
        <s v="ORD018"/>
        <s v="ORD019"/>
        <s v="ORD020"/>
      </sharedItems>
    </cacheField>
    <cacheField name="customer_name" numFmtId="0">
      <sharedItems count="17">
        <s v="Amit Shah"/>
        <s v="Ananya Reddy"/>
        <s v="Anil Kumar"/>
        <s v="Arjun Kumar"/>
        <s v="Divya Nair"/>
        <s v="Kiran Patel"/>
        <s v="Meena Das"/>
        <s v="Neha Verma"/>
        <s v="Pooja Singh"/>
        <s v="Priya Reddy"/>
        <s v="Rahul Sharma"/>
        <s v="Ravi Kumar"/>
        <s v="Rohit Mehta"/>
        <s v="Sneha Rao"/>
        <s v="Suresh Babu"/>
        <s v="Unknown"/>
        <s v="Vikram Singh"/>
      </sharedItems>
    </cacheField>
    <cacheField name="product" numFmtId="0">
      <sharedItems count="6">
        <s v="Headphones"/>
        <s v="Keyboard"/>
        <s v="Laptop"/>
        <s v="Monitor"/>
        <s v="Office Chair"/>
        <s v="Wireless Mouse"/>
      </sharedItems>
    </cacheField>
    <cacheField name="category" numFmtId="0">
      <sharedItems count="3">
        <s v="Electronics"/>
        <s v="Furniture"/>
        <s v="Uncategorized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_price" numFmtId="0">
      <sharedItems containsSemiMixedTypes="0" containsString="0" containsNumber="1" containsInteger="1" minValue="1200" maxValue="55000" count="6">
        <n v="1200"/>
        <n v="1800"/>
        <n v="3500"/>
        <n v="8500"/>
        <n v="15000"/>
        <n v="55000"/>
      </sharedItems>
    </cacheField>
    <cacheField name="order_date" numFmtId="0">
      <sharedItems count="15">
        <s v="2026-01-05"/>
        <s v="2026-01-06"/>
        <s v="2026-01-07"/>
        <s v="2026-01-09"/>
        <s v="2026-01-10"/>
        <s v="2026-01-12"/>
        <s v="2026-01-14"/>
        <s v="2026-01-15"/>
        <s v="2026-01-16"/>
        <s v="2026-01-17"/>
        <s v="2026-01-19"/>
        <s v="2026-01-21"/>
        <s v="2026-01-22"/>
        <s v="2026-01-23"/>
        <s v="2026-01-24"/>
      </sharedItems>
    </cacheField>
    <cacheField name="region" numFmtId="0">
      <sharedItems count="4">
        <s v="East"/>
        <s v="North"/>
        <s v="South"/>
        <s v="West"/>
      </sharedItems>
    </cacheField>
    <cacheField name="revenue" numFmtId="0">
      <sharedItems containsSemiMixedTypes="0" containsString="0" containsNumber="1" containsInteger="1" minValue="2400" maxValue="110000" count="14">
        <n v="2400"/>
        <n v="3600"/>
        <n v="5400"/>
        <n v="6000"/>
        <n v="7000"/>
        <n v="7200"/>
        <n v="8500"/>
        <n v="10500"/>
        <n v="14000"/>
        <n v="15000"/>
        <n v="17000"/>
        <n v="30000"/>
        <n v="55000"/>
        <n v="11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1"/>
    <x v="5"/>
    <x v="0"/>
    <x v="2"/>
    <x v="13"/>
  </r>
  <r>
    <x v="0"/>
    <x v="4"/>
    <x v="0"/>
    <x v="1"/>
    <x v="2"/>
    <x v="3"/>
  </r>
  <r>
    <x v="0"/>
    <x v="2"/>
    <x v="1"/>
    <x v="2"/>
    <x v="2"/>
    <x v="2"/>
  </r>
  <r>
    <x v="0"/>
    <x v="0"/>
    <x v="4"/>
    <x v="7"/>
    <x v="1"/>
    <x v="9"/>
  </r>
  <r>
    <x v="0"/>
    <x v="0"/>
    <x v="5"/>
    <x v="3"/>
    <x v="2"/>
    <x v="12"/>
  </r>
  <r>
    <x v="1"/>
    <x v="1"/>
    <x v="3"/>
    <x v="4"/>
    <x v="3"/>
    <x v="10"/>
  </r>
  <r>
    <x v="0"/>
    <x v="1"/>
    <x v="0"/>
    <x v="7"/>
    <x v="2"/>
    <x v="0"/>
  </r>
  <r>
    <x v="0"/>
    <x v="3"/>
    <x v="2"/>
    <x v="5"/>
    <x v="0"/>
    <x v="8"/>
  </r>
  <r>
    <x v="2"/>
    <x v="1"/>
    <x v="1"/>
    <x v="7"/>
    <x v="2"/>
    <x v="1"/>
  </r>
  <r>
    <x v="0"/>
    <x v="1"/>
    <x v="2"/>
    <x v="6"/>
    <x v="1"/>
    <x v="4"/>
  </r>
  <r>
    <x v="1"/>
    <x v="0"/>
    <x v="3"/>
    <x v="7"/>
    <x v="3"/>
    <x v="6"/>
  </r>
  <r>
    <x v="0"/>
    <x v="2"/>
    <x v="0"/>
    <x v="8"/>
    <x v="2"/>
    <x v="1"/>
  </r>
  <r>
    <x v="0"/>
    <x v="1"/>
    <x v="4"/>
    <x v="9"/>
    <x v="1"/>
    <x v="11"/>
  </r>
  <r>
    <x v="0"/>
    <x v="1"/>
    <x v="2"/>
    <x v="7"/>
    <x v="0"/>
    <x v="4"/>
  </r>
  <r>
    <x v="0"/>
    <x v="0"/>
    <x v="5"/>
    <x v="10"/>
    <x v="2"/>
    <x v="12"/>
  </r>
  <r>
    <x v="0"/>
    <x v="3"/>
    <x v="1"/>
    <x v="11"/>
    <x v="2"/>
    <x v="5"/>
  </r>
  <r>
    <x v="0"/>
    <x v="1"/>
    <x v="4"/>
    <x v="12"/>
    <x v="1"/>
    <x v="11"/>
  </r>
  <r>
    <x v="1"/>
    <x v="0"/>
    <x v="3"/>
    <x v="13"/>
    <x v="3"/>
    <x v="6"/>
  </r>
  <r>
    <x v="0"/>
    <x v="2"/>
    <x v="2"/>
    <x v="14"/>
    <x v="2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">
  <r>
    <x v="0"/>
    <x v="10"/>
    <x v="2"/>
    <x v="0"/>
    <x v="1"/>
    <x v="5"/>
    <x v="0"/>
    <x v="2"/>
    <x v="13"/>
  </r>
  <r>
    <x v="1"/>
    <x v="9"/>
    <x v="5"/>
    <x v="0"/>
    <x v="4"/>
    <x v="0"/>
    <x v="1"/>
    <x v="2"/>
    <x v="3"/>
  </r>
  <r>
    <x v="2"/>
    <x v="3"/>
    <x v="1"/>
    <x v="0"/>
    <x v="2"/>
    <x v="1"/>
    <x v="2"/>
    <x v="2"/>
    <x v="2"/>
  </r>
  <r>
    <x v="3"/>
    <x v="15"/>
    <x v="3"/>
    <x v="0"/>
    <x v="0"/>
    <x v="4"/>
    <x v="7"/>
    <x v="1"/>
    <x v="9"/>
  </r>
  <r>
    <x v="4"/>
    <x v="13"/>
    <x v="2"/>
    <x v="0"/>
    <x v="0"/>
    <x v="5"/>
    <x v="3"/>
    <x v="2"/>
    <x v="12"/>
  </r>
  <r>
    <x v="5"/>
    <x v="16"/>
    <x v="4"/>
    <x v="1"/>
    <x v="1"/>
    <x v="3"/>
    <x v="4"/>
    <x v="3"/>
    <x v="10"/>
  </r>
  <r>
    <x v="6"/>
    <x v="1"/>
    <x v="5"/>
    <x v="0"/>
    <x v="1"/>
    <x v="0"/>
    <x v="7"/>
    <x v="2"/>
    <x v="0"/>
  </r>
  <r>
    <x v="7"/>
    <x v="5"/>
    <x v="0"/>
    <x v="0"/>
    <x v="3"/>
    <x v="2"/>
    <x v="5"/>
    <x v="0"/>
    <x v="8"/>
  </r>
  <r>
    <x v="8"/>
    <x v="15"/>
    <x v="1"/>
    <x v="2"/>
    <x v="1"/>
    <x v="1"/>
    <x v="7"/>
    <x v="2"/>
    <x v="1"/>
  </r>
  <r>
    <x v="9"/>
    <x v="6"/>
    <x v="2"/>
    <x v="0"/>
    <x v="1"/>
    <x v="2"/>
    <x v="6"/>
    <x v="1"/>
    <x v="4"/>
  </r>
  <r>
    <x v="10"/>
    <x v="11"/>
    <x v="4"/>
    <x v="1"/>
    <x v="0"/>
    <x v="3"/>
    <x v="7"/>
    <x v="3"/>
    <x v="6"/>
  </r>
  <r>
    <x v="11"/>
    <x v="9"/>
    <x v="5"/>
    <x v="0"/>
    <x v="2"/>
    <x v="0"/>
    <x v="8"/>
    <x v="2"/>
    <x v="1"/>
  </r>
  <r>
    <x v="12"/>
    <x v="0"/>
    <x v="3"/>
    <x v="0"/>
    <x v="1"/>
    <x v="4"/>
    <x v="9"/>
    <x v="1"/>
    <x v="11"/>
  </r>
  <r>
    <x v="13"/>
    <x v="7"/>
    <x v="0"/>
    <x v="0"/>
    <x v="1"/>
    <x v="2"/>
    <x v="7"/>
    <x v="0"/>
    <x v="4"/>
  </r>
  <r>
    <x v="14"/>
    <x v="12"/>
    <x v="2"/>
    <x v="0"/>
    <x v="0"/>
    <x v="5"/>
    <x v="10"/>
    <x v="2"/>
    <x v="12"/>
  </r>
  <r>
    <x v="15"/>
    <x v="4"/>
    <x v="1"/>
    <x v="0"/>
    <x v="3"/>
    <x v="1"/>
    <x v="11"/>
    <x v="2"/>
    <x v="5"/>
  </r>
  <r>
    <x v="16"/>
    <x v="14"/>
    <x v="3"/>
    <x v="0"/>
    <x v="1"/>
    <x v="4"/>
    <x v="12"/>
    <x v="1"/>
    <x v="11"/>
  </r>
  <r>
    <x v="17"/>
    <x v="8"/>
    <x v="4"/>
    <x v="1"/>
    <x v="0"/>
    <x v="3"/>
    <x v="13"/>
    <x v="3"/>
    <x v="6"/>
  </r>
  <r>
    <x v="18"/>
    <x v="2"/>
    <x v="0"/>
    <x v="0"/>
    <x v="2"/>
    <x v="2"/>
    <x v="14"/>
    <x v="2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5" firstHeaderRow="1" firstDataRow="1" firstDataCol="1"/>
  <pivotFields count="6">
    <pivotField axis="axisRow" showAll="0" defaultSubtotal="0" compact="0" outline="0">
      <items count="3">
        <item x="0"/>
        <item x="1"/>
        <item x="2"/>
      </items>
    </pivotField>
    <pivotField showAll="0" compact="0"/>
    <pivotField showAll="0" compact="0"/>
    <pivotField showAll="0" compact="0"/>
    <pivotField showAll="0" compact="0"/>
    <pivotField dataField="1" showAll="0" compact="0" outline="0"/>
  </pivotFields>
  <rowFields count="1">
    <field x="0"/>
  </rowFields>
  <dataFields count="1">
    <dataField fld="5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6" firstHeaderRow="1" firstDataRow="1" firstDataCol="1"/>
  <pivotFields count="6">
    <pivotField showAll="0" compact="0"/>
    <pivotField showAll="0" compact="0"/>
    <pivotField showAll="0" compact="0"/>
    <pivotField showAll="0" compact="0"/>
    <pivotField axis="axisRow" showAll="0" defaultSubtotal="0" compact="0" outline="0">
      <items count="4">
        <item x="0"/>
        <item x="1"/>
        <item x="2"/>
        <item x="3"/>
      </items>
    </pivotField>
    <pivotField dataField="1" showAll="0" compact="0" outline="0"/>
  </pivotFields>
  <rowFields count="1">
    <field x="4"/>
  </rowFields>
  <dataFields count="1">
    <dataField fld="5" subtotal="sum"/>
  </dataFields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5" firstHeaderRow="1" firstDataRow="1" firstDataCol="1"/>
  <pivotFields count="6">
    <pivotField axis="axisRow" showAll="0" defaultSubtotal="0" compact="0" outline="0">
      <items count="3">
        <item x="0"/>
        <item x="1"/>
        <item x="2"/>
      </items>
    </pivotField>
    <pivotField dataField="1" showAll="0" compact="0" outline="0"/>
    <pivotField showAll="0" compact="0"/>
    <pivotField showAll="0" compact="0"/>
    <pivotField showAll="0" compact="0"/>
    <pivotField showAll="0" compact="0"/>
  </pivotFields>
  <rowFields count="1">
    <field x="0"/>
  </rowFields>
  <dataFields count="1">
    <dataField fld="1" subtotal="sum"/>
  </dataFields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9">
    <pivotField showAll="0" compact="0"/>
    <pivotField showAll="0" compact="0"/>
    <pivotField axis="axisRow" showAll="0" defaultSubtotal="0" compact="0" outline="0">
      <items count="6">
        <item x="0"/>
        <item x="1"/>
        <item x="2"/>
        <item x="3"/>
        <item x="4"/>
        <item x="5"/>
      </items>
    </pivotField>
    <pivotField showAll="0" compact="0"/>
    <pivotField showAll="0" compact="0"/>
    <pivotField showAll="0" compact="0"/>
    <pivotField showAll="0" compact="0"/>
    <pivotField showAll="0" compact="0"/>
    <pivotField dataField="1" showAll="0" compact="0" outline="0"/>
  </pivotFields>
  <rowFields count="1">
    <field x="2"/>
  </rowFields>
  <dataFields count="1">
    <dataField fld="8" subtotal="sum"/>
  </dataFields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8.01"/>
    <col collapsed="false" customWidth="true" hidden="false" outlineLevel="0" max="2" min="2" style="0" width="14.46"/>
    <col collapsed="false" customWidth="true" hidden="false" outlineLevel="0" max="3" min="3" style="0" width="14.28"/>
    <col collapsed="false" customWidth="true" hidden="false" outlineLevel="0" max="4" min="4" style="0" width="13.02"/>
    <col collapsed="false" customWidth="true" hidden="false" outlineLevel="0" max="5" min="5" style="0" width="7.74"/>
    <col collapsed="false" customWidth="true" hidden="false" outlineLevel="0" max="6" min="6" style="0" width="9.19"/>
    <col collapsed="false" customWidth="true" hidden="false" outlineLevel="0" max="7" min="7" style="0" width="10.19"/>
    <col collapsed="false" customWidth="true" hidden="false" outlineLevel="0" max="8" min="8" style="0" width="6.37"/>
    <col collapsed="false" customWidth="true" hidden="false" outlineLevel="0" max="9" min="9" style="0" width="7.92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2</v>
      </c>
      <c r="F2" s="0" t="n">
        <v>55000</v>
      </c>
      <c r="G2" s="1" t="s">
        <v>13</v>
      </c>
      <c r="H2" s="0" t="s">
        <v>14</v>
      </c>
      <c r="I2" s="0" t="n">
        <v>110000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12</v>
      </c>
      <c r="E3" s="0" t="n">
        <v>5</v>
      </c>
      <c r="F3" s="0" t="n">
        <v>1200</v>
      </c>
      <c r="G3" s="1" t="s">
        <v>18</v>
      </c>
      <c r="H3" s="0" t="s">
        <v>14</v>
      </c>
      <c r="I3" s="0" t="n">
        <v>6000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12</v>
      </c>
      <c r="E4" s="0" t="n">
        <v>3</v>
      </c>
      <c r="F4" s="0" t="n">
        <v>1800</v>
      </c>
      <c r="G4" s="1" t="s">
        <v>22</v>
      </c>
      <c r="H4" s="0" t="s">
        <v>14</v>
      </c>
      <c r="I4" s="0" t="n">
        <v>5400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12</v>
      </c>
      <c r="E5" s="0" t="n">
        <v>1</v>
      </c>
      <c r="F5" s="0" t="n">
        <v>15000</v>
      </c>
      <c r="G5" s="1" t="s">
        <v>26</v>
      </c>
      <c r="H5" s="0" t="s">
        <v>27</v>
      </c>
      <c r="I5" s="0" t="n">
        <v>15000</v>
      </c>
    </row>
    <row r="6" customFormat="false" ht="12.8" hidden="false" customHeight="false" outlineLevel="0" collapsed="false">
      <c r="A6" s="0" t="s">
        <v>28</v>
      </c>
      <c r="B6" s="0" t="s">
        <v>29</v>
      </c>
      <c r="C6" s="0" t="s">
        <v>11</v>
      </c>
      <c r="D6" s="0" t="s">
        <v>12</v>
      </c>
      <c r="E6" s="0" t="n">
        <v>1</v>
      </c>
      <c r="F6" s="0" t="n">
        <v>55000</v>
      </c>
      <c r="G6" s="1" t="s">
        <v>30</v>
      </c>
      <c r="H6" s="0" t="s">
        <v>14</v>
      </c>
      <c r="I6" s="0" t="n">
        <v>55000</v>
      </c>
    </row>
    <row r="7" customFormat="false" ht="12.8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n">
        <v>2</v>
      </c>
      <c r="F7" s="0" t="n">
        <v>8500</v>
      </c>
      <c r="G7" s="1" t="s">
        <v>35</v>
      </c>
      <c r="H7" s="0" t="s">
        <v>36</v>
      </c>
      <c r="I7" s="0" t="n">
        <v>17000</v>
      </c>
    </row>
    <row r="8" customFormat="false" ht="12.8" hidden="false" customHeight="false" outlineLevel="0" collapsed="false">
      <c r="A8" s="0" t="s">
        <v>37</v>
      </c>
      <c r="B8" s="0" t="s">
        <v>38</v>
      </c>
      <c r="C8" s="0" t="s">
        <v>17</v>
      </c>
      <c r="D8" s="0" t="s">
        <v>12</v>
      </c>
      <c r="E8" s="0" t="n">
        <v>2</v>
      </c>
      <c r="F8" s="0" t="n">
        <v>1200</v>
      </c>
      <c r="G8" s="1" t="s">
        <v>26</v>
      </c>
      <c r="H8" s="0" t="s">
        <v>14</v>
      </c>
      <c r="I8" s="0" t="n">
        <v>2400</v>
      </c>
    </row>
    <row r="9" customFormat="false" ht="12.8" hidden="false" customHeight="false" outlineLevel="0" collapsed="false">
      <c r="A9" s="0" t="s">
        <v>39</v>
      </c>
      <c r="B9" s="0" t="s">
        <v>40</v>
      </c>
      <c r="C9" s="0" t="s">
        <v>41</v>
      </c>
      <c r="D9" s="0" t="s">
        <v>12</v>
      </c>
      <c r="E9" s="0" t="n">
        <v>4</v>
      </c>
      <c r="F9" s="0" t="n">
        <v>3500</v>
      </c>
      <c r="G9" s="1" t="s">
        <v>42</v>
      </c>
      <c r="H9" s="0" t="s">
        <v>43</v>
      </c>
      <c r="I9" s="0" t="n">
        <v>14000</v>
      </c>
    </row>
    <row r="10" customFormat="false" ht="12.8" hidden="false" customHeight="false" outlineLevel="0" collapsed="false">
      <c r="A10" s="0" t="s">
        <v>44</v>
      </c>
      <c r="B10" s="0" t="s">
        <v>24</v>
      </c>
      <c r="C10" s="0" t="s">
        <v>21</v>
      </c>
      <c r="D10" s="0" t="s">
        <v>45</v>
      </c>
      <c r="E10" s="0" t="n">
        <v>2</v>
      </c>
      <c r="F10" s="0" t="n">
        <v>1800</v>
      </c>
      <c r="G10" s="1" t="s">
        <v>26</v>
      </c>
      <c r="H10" s="0" t="s">
        <v>14</v>
      </c>
      <c r="I10" s="0" t="n">
        <v>3600</v>
      </c>
    </row>
    <row r="11" customFormat="false" ht="12.8" hidden="false" customHeight="false" outlineLevel="0" collapsed="false">
      <c r="A11" s="0" t="s">
        <v>46</v>
      </c>
      <c r="B11" s="0" t="s">
        <v>47</v>
      </c>
      <c r="C11" s="0" t="s">
        <v>11</v>
      </c>
      <c r="D11" s="0" t="s">
        <v>12</v>
      </c>
      <c r="E11" s="0" t="n">
        <v>2</v>
      </c>
      <c r="F11" s="0" t="n">
        <v>3500</v>
      </c>
      <c r="G11" s="1" t="s">
        <v>48</v>
      </c>
      <c r="H11" s="0" t="s">
        <v>27</v>
      </c>
      <c r="I11" s="0" t="n">
        <v>7000</v>
      </c>
    </row>
    <row r="12" customFormat="false" ht="12.8" hidden="false" customHeight="false" outlineLevel="0" collapsed="false">
      <c r="A12" s="0" t="s">
        <v>49</v>
      </c>
      <c r="B12" s="0" t="s">
        <v>50</v>
      </c>
      <c r="C12" s="0" t="s">
        <v>33</v>
      </c>
      <c r="D12" s="0" t="s">
        <v>34</v>
      </c>
      <c r="E12" s="0" t="n">
        <v>1</v>
      </c>
      <c r="F12" s="0" t="n">
        <v>8500</v>
      </c>
      <c r="G12" s="1" t="s">
        <v>26</v>
      </c>
      <c r="H12" s="0" t="s">
        <v>36</v>
      </c>
      <c r="I12" s="0" t="n">
        <v>8500</v>
      </c>
    </row>
    <row r="13" customFormat="false" ht="12.8" hidden="false" customHeight="false" outlineLevel="0" collapsed="false">
      <c r="A13" s="0" t="s">
        <v>51</v>
      </c>
      <c r="B13" s="0" t="s">
        <v>16</v>
      </c>
      <c r="C13" s="0" t="s">
        <v>17</v>
      </c>
      <c r="D13" s="0" t="s">
        <v>12</v>
      </c>
      <c r="E13" s="0" t="n">
        <v>3</v>
      </c>
      <c r="F13" s="0" t="n">
        <v>1200</v>
      </c>
      <c r="G13" s="1" t="s">
        <v>52</v>
      </c>
      <c r="H13" s="0" t="s">
        <v>14</v>
      </c>
      <c r="I13" s="0" t="n">
        <v>3600</v>
      </c>
    </row>
    <row r="14" customFormat="false" ht="12.8" hidden="false" customHeight="false" outlineLevel="0" collapsed="false">
      <c r="A14" s="0" t="s">
        <v>53</v>
      </c>
      <c r="B14" s="0" t="s">
        <v>54</v>
      </c>
      <c r="C14" s="0" t="s">
        <v>25</v>
      </c>
      <c r="D14" s="0" t="s">
        <v>12</v>
      </c>
      <c r="E14" s="0" t="n">
        <v>2</v>
      </c>
      <c r="F14" s="0" t="n">
        <v>15000</v>
      </c>
      <c r="G14" s="1" t="s">
        <v>55</v>
      </c>
      <c r="H14" s="0" t="s">
        <v>27</v>
      </c>
      <c r="I14" s="0" t="n">
        <v>30000</v>
      </c>
    </row>
    <row r="15" customFormat="false" ht="12.8" hidden="false" customHeight="false" outlineLevel="0" collapsed="false">
      <c r="A15" s="0" t="s">
        <v>56</v>
      </c>
      <c r="B15" s="0" t="s">
        <v>57</v>
      </c>
      <c r="C15" s="0" t="s">
        <v>41</v>
      </c>
      <c r="D15" s="0" t="s">
        <v>12</v>
      </c>
      <c r="E15" s="0" t="n">
        <v>2</v>
      </c>
      <c r="F15" s="0" t="n">
        <v>3500</v>
      </c>
      <c r="G15" s="1" t="s">
        <v>26</v>
      </c>
      <c r="H15" s="0" t="s">
        <v>43</v>
      </c>
      <c r="I15" s="0" t="n">
        <v>7000</v>
      </c>
    </row>
    <row r="16" customFormat="false" ht="12.8" hidden="false" customHeight="false" outlineLevel="0" collapsed="false">
      <c r="A16" s="0" t="s">
        <v>58</v>
      </c>
      <c r="B16" s="0" t="s">
        <v>59</v>
      </c>
      <c r="C16" s="0" t="s">
        <v>11</v>
      </c>
      <c r="D16" s="0" t="s">
        <v>12</v>
      </c>
      <c r="E16" s="0" t="n">
        <v>1</v>
      </c>
      <c r="F16" s="0" t="n">
        <v>55000</v>
      </c>
      <c r="G16" s="1" t="s">
        <v>60</v>
      </c>
      <c r="H16" s="0" t="s">
        <v>14</v>
      </c>
      <c r="I16" s="0" t="n">
        <v>55000</v>
      </c>
    </row>
    <row r="17" customFormat="false" ht="12.8" hidden="false" customHeight="false" outlineLevel="0" collapsed="false">
      <c r="A17" s="0" t="s">
        <v>61</v>
      </c>
      <c r="B17" s="0" t="s">
        <v>62</v>
      </c>
      <c r="C17" s="0" t="s">
        <v>21</v>
      </c>
      <c r="D17" s="0" t="s">
        <v>12</v>
      </c>
      <c r="E17" s="0" t="n">
        <v>4</v>
      </c>
      <c r="F17" s="0" t="n">
        <v>1800</v>
      </c>
      <c r="G17" s="1" t="s">
        <v>63</v>
      </c>
      <c r="H17" s="0" t="s">
        <v>14</v>
      </c>
      <c r="I17" s="0" t="n">
        <v>7200</v>
      </c>
    </row>
    <row r="18" customFormat="false" ht="12.8" hidden="false" customHeight="false" outlineLevel="0" collapsed="false">
      <c r="A18" s="0" t="s">
        <v>64</v>
      </c>
      <c r="B18" s="0" t="s">
        <v>65</v>
      </c>
      <c r="C18" s="0" t="s">
        <v>25</v>
      </c>
      <c r="D18" s="0" t="s">
        <v>12</v>
      </c>
      <c r="E18" s="0" t="n">
        <v>2</v>
      </c>
      <c r="F18" s="0" t="n">
        <v>15000</v>
      </c>
      <c r="G18" s="1" t="s">
        <v>66</v>
      </c>
      <c r="H18" s="0" t="s">
        <v>27</v>
      </c>
      <c r="I18" s="0" t="n">
        <v>30000</v>
      </c>
    </row>
    <row r="19" customFormat="false" ht="12.8" hidden="false" customHeight="false" outlineLevel="0" collapsed="false">
      <c r="A19" s="0" t="s">
        <v>67</v>
      </c>
      <c r="B19" s="0" t="s">
        <v>68</v>
      </c>
      <c r="C19" s="0" t="s">
        <v>33</v>
      </c>
      <c r="D19" s="0" t="s">
        <v>34</v>
      </c>
      <c r="E19" s="0" t="n">
        <v>1</v>
      </c>
      <c r="F19" s="0" t="n">
        <v>8500</v>
      </c>
      <c r="G19" s="1" t="s">
        <v>69</v>
      </c>
      <c r="H19" s="0" t="s">
        <v>36</v>
      </c>
      <c r="I19" s="0" t="n">
        <v>8500</v>
      </c>
    </row>
    <row r="20" customFormat="false" ht="12.8" hidden="false" customHeight="false" outlineLevel="0" collapsed="false">
      <c r="A20" s="0" t="s">
        <v>70</v>
      </c>
      <c r="B20" s="0" t="s">
        <v>71</v>
      </c>
      <c r="C20" s="0" t="s">
        <v>41</v>
      </c>
      <c r="D20" s="0" t="s">
        <v>12</v>
      </c>
      <c r="E20" s="0" t="n">
        <v>3</v>
      </c>
      <c r="F20" s="0" t="n">
        <v>3500</v>
      </c>
      <c r="G20" s="1" t="s">
        <v>72</v>
      </c>
      <c r="H20" s="0" t="s">
        <v>14</v>
      </c>
      <c r="I20" s="0" t="n">
        <v>10500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2</v>
      </c>
      <c r="B1" s="3" t="s">
        <v>73</v>
      </c>
    </row>
    <row r="2" customFormat="false" ht="12.8" hidden="false" customHeight="false" outlineLevel="0" collapsed="false">
      <c r="A2" s="4" t="s">
        <v>41</v>
      </c>
      <c r="B2" s="5" t="n">
        <v>31500</v>
      </c>
    </row>
    <row r="3" customFormat="false" ht="12.8" hidden="false" customHeight="false" outlineLevel="0" collapsed="false">
      <c r="A3" s="6" t="s">
        <v>21</v>
      </c>
      <c r="B3" s="7" t="n">
        <v>16200</v>
      </c>
    </row>
    <row r="4" customFormat="false" ht="12.8" hidden="false" customHeight="false" outlineLevel="0" collapsed="false">
      <c r="A4" s="6" t="s">
        <v>11</v>
      </c>
      <c r="B4" s="7" t="n">
        <v>227000</v>
      </c>
    </row>
    <row r="5" customFormat="false" ht="12.8" hidden="false" customHeight="false" outlineLevel="0" collapsed="false">
      <c r="A5" s="6" t="s">
        <v>25</v>
      </c>
      <c r="B5" s="7" t="n">
        <v>75000</v>
      </c>
    </row>
    <row r="6" customFormat="false" ht="12.8" hidden="false" customHeight="false" outlineLevel="0" collapsed="false">
      <c r="A6" s="6" t="s">
        <v>33</v>
      </c>
      <c r="B6" s="7" t="n">
        <v>34000</v>
      </c>
    </row>
    <row r="7" customFormat="false" ht="12.8" hidden="false" customHeight="false" outlineLevel="0" collapsed="false">
      <c r="A7" s="6" t="s">
        <v>17</v>
      </c>
      <c r="B7" s="8" t="n">
        <v>12000</v>
      </c>
    </row>
    <row r="8" customFormat="false" ht="12.8" hidden="false" customHeight="false" outlineLevel="0" collapsed="false">
      <c r="A8" s="9" t="s">
        <v>74</v>
      </c>
      <c r="B8" s="10" t="n">
        <v>395700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3</v>
      </c>
      <c r="B1" s="3" t="s">
        <v>75</v>
      </c>
    </row>
    <row r="2" customFormat="false" ht="12.8" hidden="false" customHeight="false" outlineLevel="0" collapsed="false">
      <c r="A2" s="4" t="s">
        <v>12</v>
      </c>
      <c r="B2" s="11" t="n">
        <v>37</v>
      </c>
    </row>
    <row r="3" customFormat="false" ht="12.8" hidden="false" customHeight="false" outlineLevel="0" collapsed="false">
      <c r="A3" s="6" t="s">
        <v>34</v>
      </c>
      <c r="B3" s="12" t="n">
        <v>4</v>
      </c>
    </row>
    <row r="4" customFormat="false" ht="12.8" hidden="false" customHeight="false" outlineLevel="0" collapsed="false">
      <c r="A4" s="6" t="s">
        <v>45</v>
      </c>
      <c r="B4" s="13" t="n">
        <v>2</v>
      </c>
    </row>
    <row r="5" customFormat="false" ht="12.8" hidden="false" customHeight="false" outlineLevel="0" collapsed="false">
      <c r="A5" s="9" t="s">
        <v>74</v>
      </c>
      <c r="B5" s="14" t="n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7" activeCellId="0" sqref="E17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7</v>
      </c>
      <c r="B1" s="3" t="s">
        <v>73</v>
      </c>
    </row>
    <row r="2" customFormat="false" ht="12.8" hidden="false" customHeight="false" outlineLevel="0" collapsed="false">
      <c r="A2" s="4" t="s">
        <v>43</v>
      </c>
      <c r="B2" s="5" t="n">
        <v>21000</v>
      </c>
    </row>
    <row r="3" customFormat="false" ht="12.8" hidden="false" customHeight="false" outlineLevel="0" collapsed="false">
      <c r="A3" s="6" t="s">
        <v>27</v>
      </c>
      <c r="B3" s="7" t="n">
        <v>82000</v>
      </c>
    </row>
    <row r="4" customFormat="false" ht="12.8" hidden="false" customHeight="false" outlineLevel="0" collapsed="false">
      <c r="A4" s="6" t="s">
        <v>14</v>
      </c>
      <c r="B4" s="7" t="n">
        <v>258700</v>
      </c>
    </row>
    <row r="5" customFormat="false" ht="12.8" hidden="false" customHeight="false" outlineLevel="0" collapsed="false">
      <c r="A5" s="6" t="s">
        <v>36</v>
      </c>
      <c r="B5" s="8" t="n">
        <v>34000</v>
      </c>
    </row>
    <row r="6" customFormat="false" ht="12.8" hidden="false" customHeight="false" outlineLevel="0" collapsed="false">
      <c r="A6" s="9" t="s">
        <v>74</v>
      </c>
      <c r="B6" s="10" t="n">
        <v>395700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7" activeCellId="0" sqref="C7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2" t="s">
        <v>3</v>
      </c>
      <c r="B1" s="3" t="s">
        <v>73</v>
      </c>
    </row>
    <row r="2" customFormat="false" ht="12.8" hidden="false" customHeight="false" outlineLevel="0" collapsed="false">
      <c r="A2" s="4" t="s">
        <v>12</v>
      </c>
      <c r="B2" s="5" t="n">
        <v>358100</v>
      </c>
    </row>
    <row r="3" customFormat="false" ht="12.8" hidden="false" customHeight="false" outlineLevel="0" collapsed="false">
      <c r="A3" s="6" t="s">
        <v>34</v>
      </c>
      <c r="B3" s="7" t="n">
        <v>34000</v>
      </c>
    </row>
    <row r="4" customFormat="false" ht="12.8" hidden="false" customHeight="false" outlineLevel="0" collapsed="false">
      <c r="A4" s="6" t="s">
        <v>45</v>
      </c>
      <c r="B4" s="8" t="n">
        <v>3600</v>
      </c>
    </row>
    <row r="5" customFormat="false" ht="12.8" hidden="false" customHeight="false" outlineLevel="0" collapsed="false">
      <c r="A5" s="9" t="s">
        <v>74</v>
      </c>
      <c r="B5" s="10" t="n">
        <v>395700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4" colorId="64" zoomScale="140" zoomScaleNormal="140" zoomScalePageLayoutView="100" workbookViewId="0">
      <selection pane="topLeft" activeCell="M24" activeCellId="0" sqref="M24"/>
    </sheetView>
  </sheetViews>
  <sheetFormatPr defaultRowHeight="12.8" zeroHeight="false" outlineLevelRow="0" outlineLevelCol="0"/>
  <cols>
    <col collapsed="false" customWidth="true" hidden="false" outlineLevel="0" max="1" min="1" style="0" width="56.55"/>
    <col collapsed="false" customWidth="false" hidden="false" outlineLevel="0" max="6" min="2" style="0" width="11.52"/>
    <col collapsed="false" customWidth="true" hidden="false" outlineLevel="0" max="7" min="7" style="0" width="24.88"/>
    <col collapsed="false" customWidth="false" hidden="false" outlineLevel="0" max="1025" min="8" style="0" width="11.52"/>
  </cols>
  <sheetData>
    <row r="1" customFormat="false" ht="16.5" hidden="false" customHeight="false" outlineLevel="0" collapsed="false">
      <c r="A1" s="15" t="s">
        <v>76</v>
      </c>
    </row>
    <row r="2" customFormat="false" ht="14.5" hidden="false" customHeight="false" outlineLevel="0" collapsed="false">
      <c r="A2" s="16" t="s">
        <v>77</v>
      </c>
    </row>
    <row r="4" customFormat="false" ht="24" hidden="false" customHeight="false" outlineLevel="0" collapsed="false">
      <c r="A4" s="17" t="s">
        <v>78</v>
      </c>
      <c r="B4" s="18"/>
      <c r="C4" s="18" t="s">
        <v>79</v>
      </c>
      <c r="D4" s="19"/>
      <c r="E4" s="18" t="s">
        <v>80</v>
      </c>
      <c r="F4" s="19"/>
      <c r="G4" s="18" t="s">
        <v>81</v>
      </c>
    </row>
    <row r="5" customFormat="false" ht="12.8" hidden="false" customHeight="false" outlineLevel="0" collapsed="false">
      <c r="A5" s="20" t="n">
        <f aca="false">SUM(cleaned_ecommerce_sales!I2:I1000)</f>
        <v>395700</v>
      </c>
      <c r="C5" s="0" t="n">
        <f aca="false">COUNTA(cleaned_ecommerce_sales!A2:A1000)</f>
        <v>19</v>
      </c>
      <c r="E5" s="0" t="n">
        <f aca="false">SUM(cleaned_ecommerce_sales!E2:E1000)</f>
        <v>43</v>
      </c>
      <c r="G5" s="21" t="n">
        <f aca="false">A5/C5</f>
        <v>20826.3157894737</v>
      </c>
    </row>
    <row r="8" customFormat="false" ht="13" hidden="false" customHeight="false" outlineLevel="0" collapsed="false">
      <c r="A8" s="22" t="s">
        <v>82</v>
      </c>
      <c r="G8" s="18" t="s">
        <v>83</v>
      </c>
    </row>
    <row r="9" customFormat="false" ht="13" hidden="false" customHeight="false" outlineLevel="0" collapsed="false">
      <c r="A9" s="0" t="s">
        <v>84</v>
      </c>
      <c r="B9" s="23" t="s">
        <v>85</v>
      </c>
      <c r="G9" s="23" t="s">
        <v>86</v>
      </c>
      <c r="H9" s="0" t="s">
        <v>87</v>
      </c>
    </row>
    <row r="10" customFormat="false" ht="12.8" hidden="false" customHeight="false" outlineLevel="0" collapsed="false">
      <c r="A10" s="0" t="s">
        <v>12</v>
      </c>
      <c r="B10" s="21" t="n">
        <f aca="false">SUMIF(cleaned_ecommerce_sales!D2:D1000,A10,cleaned_ecommerce_sales!I2:I1000)</f>
        <v>358100</v>
      </c>
      <c r="G10" s="0" t="s">
        <v>11</v>
      </c>
      <c r="H10" s="21" t="n">
        <f aca="false">SUMIF(cleaned_ecommerce_sales!C2:C1000,G10,cleaned_ecommerce_sales!I2:I1000)</f>
        <v>227000</v>
      </c>
    </row>
    <row r="11" customFormat="false" ht="12.8" hidden="false" customHeight="false" outlineLevel="0" collapsed="false">
      <c r="A11" s="0" t="s">
        <v>34</v>
      </c>
      <c r="B11" s="21" t="n">
        <f aca="false">SUMIF(cleaned_ecommerce_sales!D3:D1001,A11,cleaned_ecommerce_sales!I3:I1001)</f>
        <v>34000</v>
      </c>
      <c r="G11" s="0" t="s">
        <v>25</v>
      </c>
      <c r="H11" s="21" t="n">
        <f aca="false">SUMIF(cleaned_ecommerce_sales!C5:C1003,G11,cleaned_ecommerce_sales!I5:I1003)</f>
        <v>75000</v>
      </c>
    </row>
    <row r="12" customFormat="false" ht="12.8" hidden="false" customHeight="false" outlineLevel="0" collapsed="false">
      <c r="A12" s="0" t="s">
        <v>45</v>
      </c>
      <c r="B12" s="21" t="n">
        <f aca="false">SUMIF(cleaned_ecommerce_sales!D4:D1002,A12,cleaned_ecommerce_sales!I4:I1002)</f>
        <v>3600</v>
      </c>
      <c r="G12" s="0" t="s">
        <v>33</v>
      </c>
      <c r="H12" s="21" t="n">
        <f aca="false">SUMIF(cleaned_ecommerce_sales!C6:C1004,G12,cleaned_ecommerce_sales!I6:I1004)</f>
        <v>34000</v>
      </c>
    </row>
    <row r="13" customFormat="false" ht="12.8" hidden="false" customHeight="false" outlineLevel="0" collapsed="false">
      <c r="G13" s="0" t="s">
        <v>41</v>
      </c>
      <c r="H13" s="21" t="n">
        <f aca="false">SUMIF(cleaned_ecommerce_sales!C7:C1005,G13,cleaned_ecommerce_sales!I7:I1005)</f>
        <v>31500</v>
      </c>
    </row>
    <row r="14" customFormat="false" ht="12.8" hidden="false" customHeight="false" outlineLevel="0" collapsed="false">
      <c r="G14" s="0" t="s">
        <v>21</v>
      </c>
      <c r="H14" s="21" t="n">
        <f aca="false">SUMIF(cleaned_ecommerce_sales!C4:C1002,G14,cleaned_ecommerce_sales!I4:I1002)</f>
        <v>16200</v>
      </c>
    </row>
    <row r="15" customFormat="false" ht="12.8" hidden="false" customHeight="false" outlineLevel="0" collapsed="false">
      <c r="G15" s="0" t="s">
        <v>17</v>
      </c>
      <c r="H15" s="21" t="n">
        <f aca="false">SUMIF(cleaned_ecommerce_sales!C3:C1001,G15,cleaned_ecommerce_sales!I3:I1001)</f>
        <v>12000</v>
      </c>
    </row>
    <row r="39" customFormat="false" ht="12.8" hidden="false" customHeight="false" outlineLevel="0" collapsed="false">
      <c r="A39" s="22" t="s">
        <v>88</v>
      </c>
      <c r="G39" s="22" t="s">
        <v>89</v>
      </c>
      <c r="H39" s="0" t="s">
        <v>90</v>
      </c>
    </row>
    <row r="40" customFormat="false" ht="12.8" hidden="false" customHeight="false" outlineLevel="0" collapsed="false">
      <c r="A40" s="0" t="s">
        <v>91</v>
      </c>
      <c r="B40" s="0" t="s">
        <v>85</v>
      </c>
      <c r="G40" s="0" t="s">
        <v>92</v>
      </c>
      <c r="H40" s="0" t="s">
        <v>85</v>
      </c>
    </row>
    <row r="41" customFormat="false" ht="12.8" hidden="false" customHeight="false" outlineLevel="0" collapsed="false">
      <c r="A41" s="0" t="s">
        <v>14</v>
      </c>
      <c r="B41" s="21" t="n">
        <f aca="false">SUMIF(cleaned_ecommerce_sales!H2:H1000,A41,cleaned_ecommerce_sales!I2:I1000)</f>
        <v>258700</v>
      </c>
      <c r="G41" s="0" t="s">
        <v>93</v>
      </c>
      <c r="H41" s="21" t="n">
        <v>395700</v>
      </c>
    </row>
    <row r="42" customFormat="false" ht="12.8" hidden="false" customHeight="false" outlineLevel="0" collapsed="false">
      <c r="A42" s="0" t="s">
        <v>27</v>
      </c>
      <c r="B42" s="21" t="n">
        <f aca="false">SUMIF(cleaned_ecommerce_sales!H3:H1001,A42,cleaned_ecommerce_sales!I3:I1001)</f>
        <v>82000</v>
      </c>
    </row>
    <row r="43" customFormat="false" ht="12.8" hidden="false" customHeight="false" outlineLevel="0" collapsed="false">
      <c r="A43" s="0" t="s">
        <v>43</v>
      </c>
      <c r="B43" s="21" t="n">
        <f aca="false">SUMIF(cleaned_ecommerce_sales!H4:H1002,A43,cleaned_ecommerce_sales!I4:I1002)</f>
        <v>21000</v>
      </c>
    </row>
    <row r="44" customFormat="false" ht="12.8" hidden="false" customHeight="false" outlineLevel="0" collapsed="false">
      <c r="A44" s="0" t="s">
        <v>36</v>
      </c>
      <c r="B44" s="21" t="n">
        <f aca="false">SUMIF(cleaned_ecommerce_sales!H5:H1003,A44,cleaned_ecommerce_sales!I5:I1003)</f>
        <v>34000</v>
      </c>
    </row>
    <row r="47" customFormat="false" ht="12.8" hidden="false" customHeight="false" outlineLevel="0" collapsed="false">
      <c r="A47" s="2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2" activeCellId="0" sqref="A22"/>
    </sheetView>
  </sheetViews>
  <sheetFormatPr defaultRowHeight="12.8" zeroHeight="false" outlineLevelRow="0" outlineLevelCol="0"/>
  <cols>
    <col collapsed="false" customWidth="true" hidden="false" outlineLevel="0" max="1" min="1" style="0" width="110.67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94</v>
      </c>
    </row>
    <row r="3" customFormat="false" ht="12.8" hidden="false" customHeight="false" outlineLevel="0" collapsed="false">
      <c r="A3" s="0" t="s">
        <v>95</v>
      </c>
    </row>
    <row r="4" customFormat="false" ht="12.8" hidden="false" customHeight="false" outlineLevel="0" collapsed="false">
      <c r="A4" s="0" t="s">
        <v>96</v>
      </c>
    </row>
    <row r="5" customFormat="false" ht="12.8" hidden="false" customHeight="false" outlineLevel="0" collapsed="false">
      <c r="A5" s="0" t="s">
        <v>97</v>
      </c>
    </row>
    <row r="6" customFormat="false" ht="12.8" hidden="false" customHeight="false" outlineLevel="0" collapsed="false">
      <c r="A6" s="0" t="s">
        <v>98</v>
      </c>
    </row>
    <row r="7" customFormat="false" ht="12.8" hidden="false" customHeight="false" outlineLevel="0" collapsed="false">
      <c r="A7" s="0" t="s">
        <v>99</v>
      </c>
    </row>
    <row r="8" customFormat="false" ht="12.8" hidden="false" customHeight="false" outlineLevel="0" collapsed="false">
      <c r="A8" s="0" t="s">
        <v>100</v>
      </c>
    </row>
    <row r="9" customFormat="false" ht="12.8" hidden="false" customHeight="false" outlineLevel="0" collapsed="false">
      <c r="A9" s="0" t="s">
        <v>101</v>
      </c>
    </row>
    <row r="11" customFormat="false" ht="12.8" hidden="false" customHeight="false" outlineLevel="0" collapsed="false">
      <c r="A11" s="0" t="s">
        <v>102</v>
      </c>
    </row>
    <row r="12" customFormat="false" ht="12.8" hidden="false" customHeight="false" outlineLevel="0" collapsed="false">
      <c r="A12" s="0" t="s">
        <v>103</v>
      </c>
    </row>
    <row r="13" customFormat="false" ht="12.8" hidden="false" customHeight="false" outlineLevel="0" collapsed="false">
      <c r="A13" s="0" t="s">
        <v>104</v>
      </c>
    </row>
    <row r="14" customFormat="false" ht="12.8" hidden="false" customHeight="false" outlineLevel="0" collapsed="false">
      <c r="A14" s="0" t="s">
        <v>105</v>
      </c>
    </row>
    <row r="15" customFormat="false" ht="12.8" hidden="false" customHeight="false" outlineLevel="0" collapsed="false">
      <c r="A15" s="0" t="s">
        <v>106</v>
      </c>
    </row>
    <row r="16" customFormat="false" ht="12.8" hidden="false" customHeight="false" outlineLevel="0" collapsed="false">
      <c r="A16" s="0" t="s">
        <v>107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2026-09-20T15:28:43Z</dcterms:modified>
  <cp:revision>3</cp:revision>
  <dc:subject/>
  <dc:title/>
</cp:coreProperties>
</file>