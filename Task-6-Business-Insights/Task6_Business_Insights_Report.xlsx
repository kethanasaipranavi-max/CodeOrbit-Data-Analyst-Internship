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pivotTables/pivotTable4.xml" ContentType="application/vnd.openxmlformats-officedocument.spreadsheetml.pivotTable+xml"/>
  <Override PartName="/xl/pivotTables/pivotTable3.xml" ContentType="application/vnd.openxmlformats-officedocument.spreadsheetml.pivotTable+xml"/>
  <Override PartName="/xl/pivotTables/_rels/pivotTable4.xml.rels" ContentType="application/vnd.openxmlformats-package.relationships+xml"/>
  <Override PartName="/xl/pivotTables/_rels/pivotTable3.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2.xml" ContentType="application/vnd.openxmlformats-officedocument.spreadsheetml.pivotTable+xml"/>
  <Override PartName="/xl/pivotTables/pivotTable1.xml" ContentType="application/vnd.openxmlformats-officedocument.spreadsheetml.pivotTable+xml"/>
  <Override PartName="/xl/drawings/drawing1.xml" ContentType="application/vnd.openxmlformats-officedocument.drawing+xml"/>
  <Override PartName="/xl/drawings/_rels/drawing1.xml.rels" ContentType="application/vnd.openxmlformats-package.relationships+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_rels/pivotCacheDefinition2.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cleaned_ecommerce_sales" sheetId="1" state="visible" r:id="rId2"/>
    <sheet name="Pivot_Product_Revenue" sheetId="2" state="visible" r:id="rId3"/>
    <sheet name="Pivot_Quantity_Category" sheetId="3" state="visible" r:id="rId4"/>
    <sheet name="Pivot_Region" sheetId="4" state="visible" r:id="rId5"/>
    <sheet name="Pivot_Category" sheetId="5" state="visible" r:id="rId6"/>
    <sheet name="Dashboard" sheetId="6" state="visible" r:id="rId7"/>
    <sheet name="Task4_Insights" sheetId="7" state="visible" r:id="rId8"/>
    <sheet name="KPI_Report" sheetId="8" state="visible" r:id="rId9"/>
    <sheet name="Business_Insights" sheetId="9" state="visible" r:id="rId10"/>
  </sheets>
  <calcPr iterateCount="100" refMode="A1" iterate="false" iterateDelta="0.001"/>
  <pivotCaches>
    <pivotCache cacheId="1" r:id="rId12"/>
    <pivotCache cacheId="2" r:id="rId13"/>
  </pivotCaches>
  <extLst>
    <ext xmlns:loext="http://schemas.libreoffice.org/" uri="{7626C862-2A13-11E5-B345-FEFF819CDC9F}">
      <loext:extCalcPr stringRefSyntax="CalcA1ExcelA1"/>
    </ext>
  </extLst>
</workbook>
</file>

<file path=xl/sharedStrings.xml><?xml version="1.0" encoding="utf-8"?>
<sst xmlns="http://schemas.openxmlformats.org/spreadsheetml/2006/main" count="267" uniqueCount="168">
  <si>
    <t xml:space="preserve">order_id</t>
  </si>
  <si>
    <t xml:space="preserve">customer_name</t>
  </si>
  <si>
    <t xml:space="preserve">product</t>
  </si>
  <si>
    <t xml:space="preserve">category</t>
  </si>
  <si>
    <t xml:space="preserve">quantity</t>
  </si>
  <si>
    <t xml:space="preserve">unit_price</t>
  </si>
  <si>
    <t xml:space="preserve">order_date</t>
  </si>
  <si>
    <t xml:space="preserve">region</t>
  </si>
  <si>
    <t xml:space="preserve">revenue</t>
  </si>
  <si>
    <t xml:space="preserve">ORD001</t>
  </si>
  <si>
    <t xml:space="preserve">Rahul Sharma</t>
  </si>
  <si>
    <t xml:space="preserve">Laptop</t>
  </si>
  <si>
    <t xml:space="preserve">Electronics</t>
  </si>
  <si>
    <t xml:space="preserve">2026-01-05</t>
  </si>
  <si>
    <t xml:space="preserve">South</t>
  </si>
  <si>
    <t xml:space="preserve">ORD002</t>
  </si>
  <si>
    <t xml:space="preserve">Priya Reddy</t>
  </si>
  <si>
    <t xml:space="preserve">Wireless Mouse</t>
  </si>
  <si>
    <t xml:space="preserve">2026-01-06</t>
  </si>
  <si>
    <t xml:space="preserve">ORD003</t>
  </si>
  <si>
    <t xml:space="preserve">Arjun Kumar</t>
  </si>
  <si>
    <t xml:space="preserve">Keyboard</t>
  </si>
  <si>
    <t xml:space="preserve">2026-01-07</t>
  </si>
  <si>
    <t xml:space="preserve">ORD004</t>
  </si>
  <si>
    <t xml:space="preserve">Unknown</t>
  </si>
  <si>
    <t xml:space="preserve">Monitor</t>
  </si>
  <si>
    <t xml:space="preserve">2026-01-15</t>
  </si>
  <si>
    <t xml:space="preserve">North</t>
  </si>
  <si>
    <t xml:space="preserve">ORD005</t>
  </si>
  <si>
    <t xml:space="preserve">Sneha Rao</t>
  </si>
  <si>
    <t xml:space="preserve">2026-01-09</t>
  </si>
  <si>
    <t xml:space="preserve">ORD006</t>
  </si>
  <si>
    <t xml:space="preserve">Vikram Singh</t>
  </si>
  <si>
    <t xml:space="preserve">Office Chair</t>
  </si>
  <si>
    <t xml:space="preserve">Furniture</t>
  </si>
  <si>
    <t xml:space="preserve">2026-01-10</t>
  </si>
  <si>
    <t xml:space="preserve">West</t>
  </si>
  <si>
    <t xml:space="preserve">ORD007</t>
  </si>
  <si>
    <t xml:space="preserve">Ananya Reddy</t>
  </si>
  <si>
    <t xml:space="preserve">ORD008</t>
  </si>
  <si>
    <t xml:space="preserve">Kiran Patel</t>
  </si>
  <si>
    <t xml:space="preserve">Headphones</t>
  </si>
  <si>
    <t xml:space="preserve">2026-01-12</t>
  </si>
  <si>
    <t xml:space="preserve">East</t>
  </si>
  <si>
    <t xml:space="preserve">ORD009</t>
  </si>
  <si>
    <t xml:space="preserve">Uncategorized</t>
  </si>
  <si>
    <t xml:space="preserve">ORD010</t>
  </si>
  <si>
    <t xml:space="preserve">Meena Das</t>
  </si>
  <si>
    <t xml:space="preserve">2026-01-14</t>
  </si>
  <si>
    <t xml:space="preserve">ORD011</t>
  </si>
  <si>
    <t xml:space="preserve">Ravi Kumar</t>
  </si>
  <si>
    <t xml:space="preserve">ORD012</t>
  </si>
  <si>
    <t xml:space="preserve">2026-01-16</t>
  </si>
  <si>
    <t xml:space="preserve">ORD013</t>
  </si>
  <si>
    <t xml:space="preserve">Amit Shah</t>
  </si>
  <si>
    <t xml:space="preserve">2026-01-17</t>
  </si>
  <si>
    <t xml:space="preserve">ORD014</t>
  </si>
  <si>
    <t xml:space="preserve">Neha Verma</t>
  </si>
  <si>
    <t xml:space="preserve">ORD015</t>
  </si>
  <si>
    <t xml:space="preserve">Rohit Mehta</t>
  </si>
  <si>
    <t xml:space="preserve">2026-01-19</t>
  </si>
  <si>
    <t xml:space="preserve">ORD017</t>
  </si>
  <si>
    <t xml:space="preserve">Divya Nair</t>
  </si>
  <si>
    <t xml:space="preserve">2026-01-21</t>
  </si>
  <si>
    <t xml:space="preserve">ORD018</t>
  </si>
  <si>
    <t xml:space="preserve">Suresh Babu</t>
  </si>
  <si>
    <t xml:space="preserve">2026-01-22</t>
  </si>
  <si>
    <t xml:space="preserve">ORD019</t>
  </si>
  <si>
    <t xml:space="preserve">Pooja Singh</t>
  </si>
  <si>
    <t xml:space="preserve">2026-01-23</t>
  </si>
  <si>
    <t xml:space="preserve">ORD020</t>
  </si>
  <si>
    <t xml:space="preserve">Anil Kumar</t>
  </si>
  <si>
    <t xml:space="preserve">2026-01-24</t>
  </si>
  <si>
    <t xml:space="preserve">Sum - revenue</t>
  </si>
  <si>
    <t xml:space="preserve">Total Result</t>
  </si>
  <si>
    <t xml:space="preserve">Sum - quantity</t>
  </si>
  <si>
    <t xml:space="preserve">E-Commerce Sales Dashboard </t>
  </si>
  <si>
    <t xml:space="preserve">CodeOrbit Tech – Data Analyst Internship | Task 3 </t>
  </si>
  <si>
    <t xml:space="preserve">Total Revenue</t>
  </si>
  <si>
    <t xml:space="preserve">Total Orders </t>
  </si>
  <si>
    <t xml:space="preserve">Total Quantity Sold</t>
  </si>
  <si>
    <t xml:space="preserve">Average Order Value</t>
  </si>
  <si>
    <t xml:space="preserve">Revenue by Category</t>
  </si>
  <si>
    <t xml:space="preserve">Top 5 Products by Revenue </t>
  </si>
  <si>
    <t xml:space="preserve">Category</t>
  </si>
  <si>
    <t xml:space="preserve">Revenue </t>
  </si>
  <si>
    <t xml:space="preserve">Product </t>
  </si>
  <si>
    <t xml:space="preserve">Revenue</t>
  </si>
  <si>
    <t xml:space="preserve">Revenue by Region</t>
  </si>
  <si>
    <t xml:space="preserve">Monthly Revenue Trend</t>
  </si>
  <si>
    <t xml:space="preserve"> </t>
  </si>
  <si>
    <t xml:space="preserve">Region</t>
  </si>
  <si>
    <t xml:space="preserve">Month</t>
  </si>
  <si>
    <t xml:space="preserve">January</t>
  </si>
  <si>
    <t xml:space="preserve">Pivot Table Analysis</t>
  </si>
  <si>
    <t xml:space="preserve">Key Business Insights</t>
  </si>
  <si>
    <t xml:space="preserve">Total revenue generated was ₹395,700 from 19 orders and 43 units sold.</t>
  </si>
  <si>
    <t xml:space="preserve">Electronics generated the highest category revenue at ₹358,100, while Furniture generated ₹34,000.</t>
  </si>
  <si>
    <t xml:space="preserve">South region generated the highest regional revenue at ₹258,700, followed by North at ₹82,000.</t>
  </si>
  <si>
    <t xml:space="preserve">Laptop generated the highest product revenue at ₹227,000.</t>
  </si>
  <si>
    <t xml:space="preserve">Keyboard generated ₹16,200, while Wireless Mouse generated ₹12,000.</t>
  </si>
  <si>
    <t xml:space="preserve">Uncategorized products contributed ₹3,600 in revenue, indicating that some records may benefit from improved category classification.</t>
  </si>
  <si>
    <t xml:space="preserve">Validation Checks</t>
  </si>
  <si>
    <t xml:space="preserve">Category revenue total = ₹395,700 ✅</t>
  </si>
  <si>
    <t xml:space="preserve">Region revenue total = ₹395,700 ✅</t>
  </si>
  <si>
    <t xml:space="preserve">Product revenue total = ₹395,700 ✅</t>
  </si>
  <si>
    <t xml:space="preserve">Category quantity total = 43 units ✅</t>
  </si>
  <si>
    <t xml:space="preserve">All four pivot tables reconcile to the dataset totals. ✅</t>
  </si>
  <si>
    <t xml:space="preserve">                                         E-Commerce KPI Report</t>
  </si>
  <si>
    <t xml:space="preserve">**CodeOrbit Tech – Data Analyst Internship</t>
  </si>
  <si>
    <t xml:space="preserve">KPI</t>
  </si>
  <si>
    <t xml:space="preserve">Value</t>
  </si>
  <si>
    <t xml:space="preserve">Performance Metric</t>
  </si>
  <si>
    <t xml:space="preserve">Result</t>
  </si>
  <si>
    <t xml:space="preserve">Top Revenue Category</t>
  </si>
  <si>
    <t xml:space="preserve">Total Orders</t>
  </si>
  <si>
    <t xml:space="preserve">Top Revenue Region</t>
  </si>
  <si>
    <t xml:space="preserve">Top Revenue Product</t>
  </si>
  <si>
    <t xml:space="preserve">Uncategorized Revenue     ₹3,600</t>
  </si>
  <si>
    <t xml:space="preserve">KPI Interpretation</t>
  </si>
  <si>
    <t xml:space="preserve">Validation Status</t>
  </si>
  <si>
    <t xml:space="preserve">All KPI calculations verified ✅</t>
  </si>
  <si>
    <t xml:space="preserve">Total revenue generated from the dataset was ₹395,700.</t>
  </si>
  <si>
    <t xml:space="preserve">The dataset contains 19 orders.</t>
  </si>
  <si>
    <t xml:space="preserve">Total quantity sold was 43 units.</t>
  </si>
  <si>
    <t xml:space="preserve">Average revenue per order was approximately ₹20,826.32.</t>
  </si>
  <si>
    <t xml:space="preserve">Conclusion</t>
  </si>
  <si>
    <t xml:space="preserve">The KPI report summarizes overall sales performance using revenue, order volume, quantity sold, and average order value. The report also highlights the leading category, region, and product based on the completed sales analysis.</t>
  </si>
  <si>
    <t xml:space="preserve">                               E-Commerce Business Insights Report</t>
  </si>
  <si>
    <t xml:space="preserve">CodeOrbit Tech – Data Analyst Internship | Task 6</t>
  </si>
  <si>
    <t xml:space="preserve">Executive Summary</t>
  </si>
  <si>
    <t xml:space="preserve">The average revenue per order was approximately ₹20,826.32.</t>
  </si>
  <si>
    <t xml:space="preserve">Electronics generated the highest category revenue at ₹358,100.</t>
  </si>
  <si>
    <t xml:space="preserve">South region generated the highest regional revenue at ₹258,700.</t>
  </si>
  <si>
    <t xml:space="preserve">Uncategorized products contributed ₹3,600 in revenue and may benefit from improved category classification.</t>
  </si>
  <si>
    <t xml:space="preserve">1. Category Performance</t>
  </si>
  <si>
    <t xml:space="preserve">Electronics was the highest-revenue category, generating ₹358,100.</t>
  </si>
  <si>
    <t xml:space="preserve">Furniture generated ₹34,000, while Uncategorized products generated ₹3,600. </t>
  </si>
  <si>
    <t xml:space="preserve">2. Regional Performance</t>
  </si>
  <si>
    <t xml:space="preserve">South was the highest-revenue region with ₹258,700. </t>
  </si>
  <si>
    <t xml:space="preserve">North generated ₹82,000, followed by West at ₹34,000 and East at ₹21,000. </t>
  </si>
  <si>
    <t xml:space="preserve">3. Product Performance </t>
  </si>
  <si>
    <t xml:space="preserve">Laptop generated the highest product revenue at ₹227,000. </t>
  </si>
  <si>
    <t xml:space="preserve">Monitor generated ₹75,000, followed by Office Chair at ₹34,000 and Headphones at ₹31,500. </t>
  </si>
  <si>
    <t xml:space="preserve">4. Data Quality Observation </t>
  </si>
  <si>
    <t xml:space="preserve">Uncategorized products contributed ₹3,600 in revenue, indicating an opportunity to improve category classification. </t>
  </si>
  <si>
    <t xml:space="preserve">5. Overall Sales Observation </t>
  </si>
  <si>
    <t xml:space="preserve">The dataset generated ₹395,700 in revenue across 19 orders, with an average order value of approximately ₹20,826.32. </t>
  </si>
  <si>
    <t xml:space="preserve">Recommendations &amp; Action Items </t>
  </si>
  <si>
    <t xml:space="preserve">1. Monitor the Electronics category closely because it contributes the largest share of revenue. </t>
  </si>
  <si>
    <t xml:space="preserve">2. Review sales performance in the South region to understand the factors contributing to its higher revenue. </t>
  </si>
  <si>
    <t xml:space="preserve">3. Track Laptop sales and inventory because Laptop generated the highest product revenue. </t>
  </si>
  <si>
    <t xml:space="preserve">4. Improve product category classification to reduce the amount of Uncategorized revenue. </t>
  </si>
  <si>
    <t xml:space="preserve">5. Continue monitoring revenue, order volume, quantity sold, and average order value as core business KPIs. </t>
  </si>
  <si>
    <t xml:space="preserve">Validation &amp; Data Consistency </t>
  </si>
  <si>
    <t xml:space="preserve">Total Revenue = ₹395,700 </t>
  </si>
  <si>
    <t xml:space="preserve">Total Orders = 19 </t>
  </si>
  <si>
    <t xml:space="preserve">Total Quantity Sold = 43 units </t>
  </si>
  <si>
    <t xml:space="preserve">Average Order Value = ₹20,826.32 </t>
  </si>
  <si>
    <t xml:space="preserve">Category, region, and product analysis reconcile with the dataset totals </t>
  </si>
  <si>
    <t xml:space="preserve">Conclusion </t>
  </si>
  <si>
    <t xml:space="preserve">The business insights report summarizes the e-commerce dataset using sales KPIs, category performance, regional performance, product performance, and data quality observations. The analysis provides a concise view of overall sales performance and identifies areas that can be monitored for future business analysis. </t>
  </si>
  <si>
    <t xml:space="preserve">Project Details</t>
  </si>
  <si>
    <t xml:space="preserve">Organization: CodeOrbit Tech </t>
  </si>
  <si>
    <t xml:space="preserve">Program: Data Analyst Internship </t>
  </si>
  <si>
    <t xml:space="preserve">Batch: IND1 </t>
  </si>
  <si>
    <t xml:space="preserve">Task: Task 6 – Mini Project: Business Insights Report </t>
  </si>
  <si>
    <t xml:space="preserve">Author: Kethana Sai Pranavi Atmuri </t>
  </si>
</sst>
</file>

<file path=xl/styles.xml><?xml version="1.0" encoding="utf-8"?>
<styleSheet xmlns="http://schemas.openxmlformats.org/spreadsheetml/2006/main">
  <numFmts count="4">
    <numFmt numFmtId="164" formatCode="General"/>
    <numFmt numFmtId="165" formatCode="@"/>
    <numFmt numFmtId="166" formatCode="[$₹-4009]#,##0.00;[RED]\-[$₹-4009]#,##0.00"/>
    <numFmt numFmtId="167" formatCode="General"/>
  </numFmts>
  <fonts count="24">
    <font>
      <sz val="10"/>
      <name val="Arial"/>
      <family val="2"/>
    </font>
    <font>
      <sz val="10"/>
      <name val="Arial"/>
      <family val="0"/>
    </font>
    <font>
      <sz val="10"/>
      <name val="Arial"/>
      <family val="0"/>
    </font>
    <font>
      <sz val="10"/>
      <name val="Arial"/>
      <family val="0"/>
    </font>
    <font>
      <b val="true"/>
      <sz val="24"/>
      <color rgb="FF000000"/>
      <name val="Arial"/>
      <family val="2"/>
    </font>
    <font>
      <sz val="18"/>
      <color rgb="FF000000"/>
      <name val="Arial"/>
      <family val="2"/>
    </font>
    <font>
      <sz val="12"/>
      <color rgb="FF000000"/>
      <name val="Arial"/>
      <family val="2"/>
    </font>
    <font>
      <sz val="10"/>
      <color rgb="FF333333"/>
      <name val="Arial"/>
      <family val="2"/>
    </font>
    <font>
      <i val="true"/>
      <sz val="10"/>
      <color rgb="FF808080"/>
      <name val="Arial"/>
      <family val="2"/>
    </font>
    <font>
      <u val="single"/>
      <sz val="10"/>
      <color rgb="FF0000EE"/>
      <name val="Arial"/>
      <family val="2"/>
    </font>
    <font>
      <sz val="10"/>
      <color rgb="FF006600"/>
      <name val="Arial"/>
      <family val="2"/>
    </font>
    <font>
      <sz val="10"/>
      <color rgb="FF996600"/>
      <name val="Arial"/>
      <family val="2"/>
    </font>
    <font>
      <sz val="10"/>
      <color rgb="FFCC0000"/>
      <name val="Arial"/>
      <family val="2"/>
    </font>
    <font>
      <b val="true"/>
      <sz val="10"/>
      <color rgb="FFFFFFFF"/>
      <name val="Arial"/>
      <family val="2"/>
    </font>
    <font>
      <b val="true"/>
      <sz val="10"/>
      <color rgb="FF000000"/>
      <name val="Arial"/>
      <family val="2"/>
    </font>
    <font>
      <sz val="10"/>
      <color rgb="FFFFFFFF"/>
      <name val="Arial"/>
      <family val="2"/>
    </font>
    <font>
      <b val="true"/>
      <sz val="10"/>
      <name val="Arial"/>
      <family val="2"/>
    </font>
    <font>
      <b val="true"/>
      <sz val="13"/>
      <name val="Times New Roman"/>
      <family val="1"/>
    </font>
    <font>
      <b val="true"/>
      <sz val="11"/>
      <name val="Times New Roman"/>
      <family val="1"/>
    </font>
    <font>
      <b val="true"/>
      <sz val="10"/>
      <name val="Times New Roman"/>
      <family val="1"/>
    </font>
    <font>
      <sz val="10"/>
      <name val="Times New Roman"/>
      <family val="1"/>
    </font>
    <font>
      <b val="true"/>
      <sz val="12"/>
      <name val="Arial"/>
      <family val="2"/>
    </font>
    <font>
      <sz val="10"/>
      <name val="Times New Roman"/>
      <family val="1"/>
      <charset val="1"/>
    </font>
    <font>
      <b val="true"/>
      <sz val="10"/>
      <name val="Times New Roman"/>
      <family val="1"/>
      <charset val="1"/>
    </font>
  </fonts>
  <fills count="9">
    <fill>
      <patternFill patternType="none"/>
    </fill>
    <fill>
      <patternFill patternType="gray125"/>
    </fill>
    <fill>
      <patternFill patternType="solid">
        <fgColor rgb="FFFFFFCC"/>
        <bgColor rgb="FFFFFFFF"/>
      </patternFill>
    </fill>
    <fill>
      <patternFill patternType="solid">
        <fgColor rgb="FFCCFFCC"/>
        <bgColor rgb="FFCCFFFF"/>
      </patternFill>
    </fill>
    <fill>
      <patternFill patternType="solid">
        <fgColor rgb="FFFFCCCC"/>
        <bgColor rgb="FFDDDDDD"/>
      </patternFill>
    </fill>
    <fill>
      <patternFill patternType="solid">
        <fgColor rgb="FFCC0000"/>
        <bgColor rgb="FF800000"/>
      </patternFill>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s>
  <borders count="1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hair"/>
      <right style="hair"/>
      <top style="hair"/>
      <bottom/>
      <diagonal/>
    </border>
    <border diagonalUp="false" diagonalDown="false">
      <left style="hair"/>
      <right style="hair"/>
      <top/>
      <bottom/>
      <diagonal/>
    </border>
    <border diagonalUp="false" diagonalDown="false">
      <left style="hair"/>
      <right style="hair"/>
      <top/>
      <bottom style="hair"/>
      <diagonal/>
    </border>
  </borders>
  <cellStyleXfs count="4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false" applyProtection="false"/>
    <xf numFmtId="164" fontId="5" fillId="0" borderId="0" applyFont="true" applyBorder="false" applyAlignment="false" applyProtection="false"/>
    <xf numFmtId="164" fontId="6" fillId="0" borderId="0" applyFont="true" applyBorder="false" applyAlignment="false" applyProtection="false"/>
    <xf numFmtId="164" fontId="0" fillId="0" borderId="0" applyFont="false" applyBorder="false" applyAlignment="false" applyProtection="false"/>
    <xf numFmtId="164" fontId="7" fillId="2" borderId="1" applyFont="true" applyBorder="true" applyAlignment="false" applyProtection="false"/>
    <xf numFmtId="164" fontId="8" fillId="0" borderId="0" applyFont="true" applyBorder="false" applyAlignment="false" applyProtection="false"/>
    <xf numFmtId="164" fontId="9" fillId="0" borderId="0" applyFont="true" applyBorder="false" applyAlignment="false" applyProtection="false"/>
    <xf numFmtId="164" fontId="0" fillId="0" borderId="0" applyFont="false" applyBorder="false" applyAlignment="false" applyProtection="false"/>
    <xf numFmtId="164" fontId="10" fillId="3" borderId="0" applyFont="true" applyBorder="false" applyAlignment="false" applyProtection="false"/>
    <xf numFmtId="164" fontId="11" fillId="2" borderId="0" applyFont="true" applyBorder="false" applyAlignment="false" applyProtection="false"/>
    <xf numFmtId="164" fontId="12" fillId="4" borderId="0" applyFont="true" applyBorder="false" applyAlignment="false" applyProtection="false"/>
    <xf numFmtId="164" fontId="12" fillId="0" borderId="0" applyFont="true" applyBorder="false" applyAlignment="false" applyProtection="false"/>
    <xf numFmtId="164" fontId="13" fillId="5" borderId="0" applyFont="true" applyBorder="false" applyAlignment="false" applyProtection="false"/>
    <xf numFmtId="164" fontId="14" fillId="0" borderId="0" applyFont="true" applyBorder="false" applyAlignment="false" applyProtection="false"/>
    <xf numFmtId="164" fontId="15" fillId="6" borderId="0" applyFont="true" applyBorder="false" applyAlignment="false" applyProtection="false"/>
    <xf numFmtId="164" fontId="15" fillId="7" borderId="0" applyFont="true" applyBorder="false" applyAlignment="false" applyProtection="false"/>
    <xf numFmtId="164" fontId="14" fillId="8" borderId="0" applyFont="tru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true" applyProtection="false">
      <alignment horizontal="left" vertical="bottom" textRotation="0" wrapText="false" indent="0" shrinkToFit="false"/>
    </xf>
    <xf numFmtId="164" fontId="16" fillId="0" borderId="0" applyFont="true" applyBorder="false" applyAlignment="true" applyProtection="false">
      <alignment horizontal="left" vertical="bottom" textRotation="0" wrapText="false" indent="0" shrinkToFit="false"/>
    </xf>
    <xf numFmtId="164" fontId="16"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2" xfId="39" applyFont="true" applyBorder="true" applyAlignment="false" applyProtection="false">
      <alignment horizontal="general" vertical="bottom" textRotation="0" wrapText="false" indent="0" shrinkToFit="false"/>
      <protection locked="true" hidden="false"/>
    </xf>
    <xf numFmtId="164" fontId="0" fillId="0" borderId="3" xfId="37" applyFont="true" applyBorder="true" applyAlignment="false" applyProtection="false">
      <alignment horizontal="general" vertical="bottom" textRotation="0" wrapText="false" indent="0" shrinkToFit="false"/>
      <protection locked="true" hidden="false"/>
    </xf>
    <xf numFmtId="164" fontId="0" fillId="0" borderId="4" xfId="40" applyFont="true" applyBorder="true" applyAlignment="false" applyProtection="false">
      <alignment horizontal="left" vertical="bottom" textRotation="0" wrapText="false" indent="0" shrinkToFit="false"/>
      <protection locked="true" hidden="false"/>
    </xf>
    <xf numFmtId="166" fontId="0" fillId="0" borderId="5" xfId="38" applyFont="false" applyBorder="true" applyAlignment="false" applyProtection="false">
      <alignment horizontal="general" vertical="bottom" textRotation="0" wrapText="false" indent="0" shrinkToFit="false"/>
      <protection locked="true" hidden="false"/>
    </xf>
    <xf numFmtId="164" fontId="0" fillId="0" borderId="6" xfId="40" applyFont="true" applyBorder="true" applyAlignment="false" applyProtection="false">
      <alignment horizontal="left" vertical="bottom" textRotation="0" wrapText="false" indent="0" shrinkToFit="false"/>
      <protection locked="true" hidden="false"/>
    </xf>
    <xf numFmtId="166" fontId="0" fillId="0" borderId="7" xfId="38" applyFont="false" applyBorder="true" applyAlignment="false" applyProtection="false">
      <alignment horizontal="general" vertical="bottom" textRotation="0" wrapText="false" indent="0" shrinkToFit="false"/>
      <protection locked="true" hidden="false"/>
    </xf>
    <xf numFmtId="166" fontId="0" fillId="0" borderId="8" xfId="38" applyFont="false" applyBorder="true" applyAlignment="false" applyProtection="false">
      <alignment horizontal="general" vertical="bottom" textRotation="0" wrapText="false" indent="0" shrinkToFit="false"/>
      <protection locked="true" hidden="false"/>
    </xf>
    <xf numFmtId="164" fontId="16" fillId="0" borderId="9" xfId="41" applyFont="true" applyBorder="true" applyAlignment="false" applyProtection="false">
      <alignment horizontal="left" vertical="bottom" textRotation="0" wrapText="false" indent="0" shrinkToFit="false"/>
      <protection locked="true" hidden="false"/>
    </xf>
    <xf numFmtId="166" fontId="16" fillId="0" borderId="10" xfId="42" applyFont="false" applyBorder="true" applyAlignment="false" applyProtection="false">
      <alignment horizontal="general" vertical="bottom" textRotation="0" wrapText="false" indent="0" shrinkToFit="false"/>
      <protection locked="true" hidden="false"/>
    </xf>
    <xf numFmtId="164" fontId="0" fillId="0" borderId="5" xfId="38" applyFont="false" applyBorder="true" applyAlignment="false" applyProtection="false">
      <alignment horizontal="general" vertical="bottom" textRotation="0" wrapText="false" indent="0" shrinkToFit="false"/>
      <protection locked="true" hidden="false"/>
    </xf>
    <xf numFmtId="164" fontId="0" fillId="0" borderId="7" xfId="38" applyFont="false" applyBorder="true" applyAlignment="false" applyProtection="false">
      <alignment horizontal="general" vertical="bottom" textRotation="0" wrapText="false" indent="0" shrinkToFit="false"/>
      <protection locked="true" hidden="false"/>
    </xf>
    <xf numFmtId="164" fontId="0" fillId="0" borderId="8" xfId="38" applyFont="false" applyBorder="true" applyAlignment="false" applyProtection="false">
      <alignment horizontal="general" vertical="bottom" textRotation="0" wrapText="false" indent="0" shrinkToFit="false"/>
      <protection locked="true" hidden="false"/>
    </xf>
    <xf numFmtId="164" fontId="16" fillId="0" borderId="10" xfId="42"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6" fillId="0" borderId="11"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6" fontId="0" fillId="0" borderId="12" xfId="0" applyFont="true" applyBorder="true" applyAlignment="false" applyProtection="false">
      <alignment horizontal="general" vertical="bottom" textRotation="0" wrapText="false" indent="0" shrinkToFit="false"/>
      <protection locked="true" hidden="false"/>
    </xf>
    <xf numFmtId="167" fontId="0" fillId="0" borderId="12" xfId="0" applyFont="tru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6" fontId="0" fillId="0" borderId="13"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19" fillId="0" borderId="11" xfId="0" applyFont="true" applyBorder="true" applyAlignment="true" applyProtection="false">
      <alignment horizontal="general" vertical="bottom" textRotation="0" wrapText="true" indent="0" shrinkToFit="false"/>
      <protection locked="true" hidden="false"/>
    </xf>
    <xf numFmtId="164" fontId="20" fillId="0" borderId="12" xfId="0" applyFont="true" applyBorder="true" applyAlignment="true" applyProtection="false">
      <alignment horizontal="general" vertical="bottom" textRotation="0" wrapText="true" indent="0" shrinkToFit="false"/>
      <protection locked="true" hidden="false"/>
    </xf>
    <xf numFmtId="164" fontId="20" fillId="0" borderId="13" xfId="0" applyFont="true" applyBorder="true" applyAlignment="true" applyProtection="false">
      <alignment horizontal="general" vertical="bottom" textRotation="0" wrapText="true" indent="0" shrinkToFit="false"/>
      <protection locked="true" hidden="false"/>
    </xf>
  </cellXfs>
  <cellStyles count="29">
    <cellStyle name="Normal" xfId="0" builtinId="0"/>
    <cellStyle name="Comma" xfId="15" builtinId="3"/>
    <cellStyle name="Comma [0]" xfId="16" builtinId="6"/>
    <cellStyle name="Currency" xfId="17" builtinId="4"/>
    <cellStyle name="Currency [0]" xfId="18" builtinId="7"/>
    <cellStyle name="Percent" xfId="19" builtinId="5"/>
    <cellStyle name="Heading" xfId="20"/>
    <cellStyle name="Heading 1" xfId="21"/>
    <cellStyle name="Heading 2" xfId="22"/>
    <cellStyle name="Text" xfId="23"/>
    <cellStyle name="Note" xfId="24"/>
    <cellStyle name="Footnote" xfId="25"/>
    <cellStyle name="Hyperlink" xfId="26"/>
    <cellStyle name="Status" xfId="27"/>
    <cellStyle name="Good" xfId="28"/>
    <cellStyle name="Neutral" xfId="29"/>
    <cellStyle name="Bad" xfId="30"/>
    <cellStyle name="Warning" xfId="31"/>
    <cellStyle name="Error" xfId="32"/>
    <cellStyle name="Accent" xfId="33"/>
    <cellStyle name="Accent 1" xfId="34"/>
    <cellStyle name="Accent 2" xfId="35"/>
    <cellStyle name="Accent 3" xfId="36"/>
    <cellStyle name="Pivot Table Corner" xfId="37"/>
    <cellStyle name="Pivot Table Value" xfId="38"/>
    <cellStyle name="Pivot Table Field" xfId="39"/>
    <cellStyle name="Pivot Table Category" xfId="40"/>
    <cellStyle name="Pivot Table Title" xfId="41"/>
    <cellStyle name="Pivot Table Result" xfId="42"/>
  </cellStyles>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B3B3B3"/>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Relationship Id="rId12" Type="http://schemas.openxmlformats.org/officeDocument/2006/relationships/pivotCacheDefinition" Target="pivotCache/pivotCacheDefinition1.xml"/><Relationship Id="rId13" Type="http://schemas.openxmlformats.org/officeDocument/2006/relationships/pivotCacheDefinition" Target="pivotCache/pivotCacheDefinition2.xml"/>
</Relationships>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col"/>
        <c:grouping val="clustered"/>
        <c:varyColors val="0"/>
        <c:ser>
          <c:idx val="0"/>
          <c:order val="0"/>
          <c:tx>
            <c:strRef>
              <c:f>Dashboard!$B$9:$B$9</c:f>
              <c:strCache>
                <c:ptCount val="1"/>
                <c:pt idx="0">
                  <c:v>Revenue </c:v>
                </c:pt>
              </c:strCache>
            </c:strRef>
          </c:tx>
          <c:spPr>
            <a:solidFill>
              <a:srgbClr val="004586"/>
            </a:solidFill>
            <a:ln>
              <a:noFill/>
            </a:ln>
          </c:spPr>
          <c:invertIfNegative val="0"/>
          <c:dLbls>
            <c:numFmt formatCode="[$₹-4009]#,##0.00;[RED]\-[$₹-4009]#,##0.00"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Dashboard!$A$10:$A$12</c:f>
              <c:strCache>
                <c:ptCount val="3"/>
                <c:pt idx="0">
                  <c:v>Electronics</c:v>
                </c:pt>
                <c:pt idx="1">
                  <c:v>Furniture</c:v>
                </c:pt>
                <c:pt idx="2">
                  <c:v>Uncategorized</c:v>
                </c:pt>
              </c:strCache>
            </c:strRef>
          </c:cat>
          <c:val>
            <c:numRef>
              <c:f>Dashboard!$B$10:$B$12</c:f>
              <c:numCache>
                <c:formatCode>General</c:formatCode>
                <c:ptCount val="3"/>
                <c:pt idx="0">
                  <c:v>358100</c:v>
                </c:pt>
                <c:pt idx="1">
                  <c:v>34000</c:v>
                </c:pt>
                <c:pt idx="2">
                  <c:v>3600</c:v>
                </c:pt>
              </c:numCache>
            </c:numRef>
          </c:val>
        </c:ser>
        <c:gapWidth val="100"/>
        <c:overlap val="0"/>
        <c:axId val="57500081"/>
        <c:axId val="53156276"/>
      </c:barChart>
      <c:catAx>
        <c:axId val="57500081"/>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53156276"/>
        <c:crosses val="autoZero"/>
        <c:auto val="1"/>
        <c:lblAlgn val="ctr"/>
        <c:lblOffset val="100"/>
      </c:catAx>
      <c:valAx>
        <c:axId val="53156276"/>
        <c:scaling>
          <c:orientation val="minMax"/>
        </c:scaling>
        <c:delete val="0"/>
        <c:axPos val="l"/>
        <c:majorGridlines>
          <c:spPr>
            <a:ln>
              <a:solidFill>
                <a:srgbClr val="b3b3b3"/>
              </a:solidFill>
            </a:ln>
          </c:spPr>
        </c:majorGridlines>
        <c:numFmt formatCode="[$₹-4009]#,##0.00;[RED]\-[$₹-4009]#,##0.00" sourceLinked="1"/>
        <c:majorTickMark val="out"/>
        <c:minorTickMark val="none"/>
        <c:tickLblPos val="nextTo"/>
        <c:spPr>
          <a:ln>
            <a:solidFill>
              <a:srgbClr val="b3b3b3"/>
            </a:solidFill>
          </a:ln>
        </c:spPr>
        <c:txPr>
          <a:bodyPr/>
          <a:lstStyle/>
          <a:p>
            <a:pPr>
              <a:defRPr b="0" sz="1000" spc="-1" strike="noStrike">
                <a:latin typeface="Arial"/>
              </a:defRPr>
            </a:pPr>
          </a:p>
        </c:txPr>
        <c:crossAx val="57500081"/>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col"/>
        <c:grouping val="clustered"/>
        <c:varyColors val="0"/>
        <c:ser>
          <c:idx val="0"/>
          <c:order val="0"/>
          <c:tx>
            <c:strRef>
              <c:f>Dashboard!$B$40:$B$40</c:f>
              <c:strCache>
                <c:ptCount val="1"/>
                <c:pt idx="0">
                  <c:v>Revenue </c:v>
                </c:pt>
              </c:strCache>
            </c:strRef>
          </c:tx>
          <c:spPr>
            <a:solidFill>
              <a:srgbClr val="004586"/>
            </a:solidFill>
            <a:ln>
              <a:noFill/>
            </a:ln>
          </c:spPr>
          <c:invertIfNegative val="0"/>
          <c:dLbls>
            <c:numFmt formatCode="[$₹-4009]#,##0.00;[RED]\-[$₹-4009]#,##0.00"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Dashboard!$A$41:$A$44</c:f>
              <c:strCache>
                <c:ptCount val="4"/>
                <c:pt idx="0">
                  <c:v>South</c:v>
                </c:pt>
                <c:pt idx="1">
                  <c:v>North</c:v>
                </c:pt>
                <c:pt idx="2">
                  <c:v>East</c:v>
                </c:pt>
                <c:pt idx="3">
                  <c:v>West</c:v>
                </c:pt>
              </c:strCache>
            </c:strRef>
          </c:cat>
          <c:val>
            <c:numRef>
              <c:f>Dashboard!$B$41:$B$44</c:f>
              <c:numCache>
                <c:formatCode>General</c:formatCode>
                <c:ptCount val="4"/>
                <c:pt idx="0">
                  <c:v>258700</c:v>
                </c:pt>
                <c:pt idx="1">
                  <c:v>82000</c:v>
                </c:pt>
                <c:pt idx="2">
                  <c:v>21000</c:v>
                </c:pt>
                <c:pt idx="3">
                  <c:v>34000</c:v>
                </c:pt>
              </c:numCache>
            </c:numRef>
          </c:val>
        </c:ser>
        <c:gapWidth val="100"/>
        <c:overlap val="0"/>
        <c:axId val="68124493"/>
        <c:axId val="40433826"/>
      </c:barChart>
      <c:catAx>
        <c:axId val="68124493"/>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40433826"/>
        <c:crosses val="autoZero"/>
        <c:auto val="1"/>
        <c:lblAlgn val="ctr"/>
        <c:lblOffset val="100"/>
      </c:catAx>
      <c:valAx>
        <c:axId val="40433826"/>
        <c:scaling>
          <c:orientation val="minMax"/>
        </c:scaling>
        <c:delete val="0"/>
        <c:axPos val="l"/>
        <c:majorGridlines>
          <c:spPr>
            <a:ln>
              <a:solidFill>
                <a:srgbClr val="b3b3b3"/>
              </a:solidFill>
            </a:ln>
          </c:spPr>
        </c:majorGridlines>
        <c:numFmt formatCode="[$₹-4009]#,##0.00;[RED]\-[$₹-4009]#,##0.00" sourceLinked="1"/>
        <c:majorTickMark val="out"/>
        <c:minorTickMark val="none"/>
        <c:tickLblPos val="nextTo"/>
        <c:spPr>
          <a:ln>
            <a:solidFill>
              <a:srgbClr val="b3b3b3"/>
            </a:solidFill>
          </a:ln>
        </c:spPr>
        <c:txPr>
          <a:bodyPr/>
          <a:lstStyle/>
          <a:p>
            <a:pPr>
              <a:defRPr b="0" sz="1000" spc="-1" strike="noStrike">
                <a:latin typeface="Arial"/>
              </a:defRPr>
            </a:pPr>
          </a:p>
        </c:txPr>
        <c:crossAx val="68124493"/>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bar"/>
        <c:grouping val="clustered"/>
        <c:varyColors val="0"/>
        <c:ser>
          <c:idx val="0"/>
          <c:order val="0"/>
          <c:spPr>
            <a:solidFill>
              <a:srgbClr val="004586"/>
            </a:solidFill>
            <a:ln>
              <a:noFill/>
            </a:ln>
          </c:spPr>
          <c:invertIfNegative val="0"/>
          <c:dLbls>
            <c:numFmt formatCode="General"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Dashboard!$G$10:$G$14</c:f>
              <c:strCache>
                <c:ptCount val="5"/>
                <c:pt idx="0">
                  <c:v>Laptop</c:v>
                </c:pt>
                <c:pt idx="1">
                  <c:v>Monitor</c:v>
                </c:pt>
                <c:pt idx="2">
                  <c:v>Office Chair</c:v>
                </c:pt>
                <c:pt idx="3">
                  <c:v>Headphones</c:v>
                </c:pt>
                <c:pt idx="4">
                  <c:v>Keyboard</c:v>
                </c:pt>
              </c:strCache>
            </c:strRef>
          </c:cat>
          <c:val>
            <c:numRef>
              <c:f>Dashboard!$H$10:$H$14</c:f>
              <c:numCache>
                <c:formatCode>General</c:formatCode>
                <c:ptCount val="5"/>
                <c:pt idx="0">
                  <c:v>227000</c:v>
                </c:pt>
                <c:pt idx="1">
                  <c:v>75000</c:v>
                </c:pt>
                <c:pt idx="2">
                  <c:v>34000</c:v>
                </c:pt>
                <c:pt idx="3">
                  <c:v>31500</c:v>
                </c:pt>
                <c:pt idx="4">
                  <c:v>16200</c:v>
                </c:pt>
              </c:numCache>
            </c:numRef>
          </c:val>
        </c:ser>
        <c:gapWidth val="100"/>
        <c:overlap val="0"/>
        <c:axId val="91618898"/>
        <c:axId val="46649408"/>
      </c:barChart>
      <c:catAx>
        <c:axId val="91618898"/>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46649408"/>
        <c:crosses val="autoZero"/>
        <c:auto val="1"/>
        <c:lblAlgn val="ctr"/>
        <c:lblOffset val="100"/>
      </c:catAx>
      <c:valAx>
        <c:axId val="46649408"/>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91618898"/>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col"/>
        <c:grouping val="clustered"/>
        <c:varyColors val="0"/>
        <c:ser>
          <c:idx val="0"/>
          <c:order val="0"/>
          <c:tx>
            <c:strRef>
              <c:f>Dashboard!$H$40:$H$40</c:f>
              <c:strCache>
                <c:ptCount val="1"/>
                <c:pt idx="0">
                  <c:v>Revenue </c:v>
                </c:pt>
              </c:strCache>
            </c:strRef>
          </c:tx>
          <c:spPr>
            <a:solidFill>
              <a:srgbClr val="004586"/>
            </a:solidFill>
            <a:ln>
              <a:noFill/>
            </a:ln>
          </c:spPr>
          <c:invertIfNegative val="0"/>
          <c:dLbls>
            <c:numFmt formatCode="[$₹-4009]#,##0.00;[RED]\-[$₹-4009]#,##0.00"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Dashboard!$G$41:$G$41</c:f>
              <c:strCache>
                <c:ptCount val="1"/>
                <c:pt idx="0">
                  <c:v>January</c:v>
                </c:pt>
              </c:strCache>
            </c:strRef>
          </c:cat>
          <c:val>
            <c:numRef>
              <c:f>Dashboard!$H$41:$H$41</c:f>
              <c:numCache>
                <c:formatCode>General</c:formatCode>
                <c:ptCount val="1"/>
                <c:pt idx="0">
                  <c:v>395700</c:v>
                </c:pt>
              </c:numCache>
            </c:numRef>
          </c:val>
        </c:ser>
        <c:gapWidth val="100"/>
        <c:overlap val="0"/>
        <c:axId val="84135978"/>
        <c:axId val="28320184"/>
      </c:barChart>
      <c:catAx>
        <c:axId val="84135978"/>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28320184"/>
        <c:crosses val="autoZero"/>
        <c:auto val="1"/>
        <c:lblAlgn val="ctr"/>
        <c:lblOffset val="100"/>
      </c:catAx>
      <c:valAx>
        <c:axId val="28320184"/>
        <c:scaling>
          <c:orientation val="minMax"/>
        </c:scaling>
        <c:delete val="0"/>
        <c:axPos val="l"/>
        <c:majorGridlines>
          <c:spPr>
            <a:ln>
              <a:solidFill>
                <a:srgbClr val="b3b3b3"/>
              </a:solidFill>
            </a:ln>
          </c:spPr>
        </c:majorGridlines>
        <c:numFmt formatCode="[$₹-4009]#,##0.00;[RED]\-[$₹-4009]#,##0.00" sourceLinked="1"/>
        <c:majorTickMark val="out"/>
        <c:minorTickMark val="none"/>
        <c:tickLblPos val="nextTo"/>
        <c:spPr>
          <a:ln>
            <a:solidFill>
              <a:srgbClr val="b3b3b3"/>
            </a:solidFill>
          </a:ln>
        </c:spPr>
        <c:txPr>
          <a:bodyPr/>
          <a:lstStyle/>
          <a:p>
            <a:pPr>
              <a:defRPr b="0" sz="1000" spc="-1" strike="noStrike">
                <a:latin typeface="Arial"/>
              </a:defRPr>
            </a:pPr>
          </a:p>
        </c:txPr>
        <c:crossAx val="84135978"/>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269640</xdr:colOff>
      <xdr:row>12</xdr:row>
      <xdr:rowOff>84960</xdr:rowOff>
    </xdr:from>
    <xdr:to>
      <xdr:col>0</xdr:col>
      <xdr:colOff>3668400</xdr:colOff>
      <xdr:row>24</xdr:row>
      <xdr:rowOff>45720</xdr:rowOff>
    </xdr:to>
    <xdr:graphicFrame>
      <xdr:nvGraphicFramePr>
        <xdr:cNvPr id="0" name=""/>
        <xdr:cNvGraphicFramePr/>
      </xdr:nvGraphicFramePr>
      <xdr:xfrm>
        <a:off x="269640" y="2251440"/>
        <a:ext cx="3398760" cy="191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81000</xdr:colOff>
      <xdr:row>47</xdr:row>
      <xdr:rowOff>105480</xdr:rowOff>
    </xdr:from>
    <xdr:to>
      <xdr:col>0</xdr:col>
      <xdr:colOff>3809520</xdr:colOff>
      <xdr:row>57</xdr:row>
      <xdr:rowOff>157680</xdr:rowOff>
    </xdr:to>
    <xdr:graphicFrame>
      <xdr:nvGraphicFramePr>
        <xdr:cNvPr id="1" name=""/>
        <xdr:cNvGraphicFramePr/>
      </xdr:nvGraphicFramePr>
      <xdr:xfrm>
        <a:off x="81000" y="7961400"/>
        <a:ext cx="3728520" cy="1677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786600</xdr:colOff>
      <xdr:row>18</xdr:row>
      <xdr:rowOff>148320</xdr:rowOff>
    </xdr:from>
    <xdr:to>
      <xdr:col>8</xdr:col>
      <xdr:colOff>695160</xdr:colOff>
      <xdr:row>33</xdr:row>
      <xdr:rowOff>22320</xdr:rowOff>
    </xdr:to>
    <xdr:graphicFrame>
      <xdr:nvGraphicFramePr>
        <xdr:cNvPr id="2" name=""/>
        <xdr:cNvGraphicFramePr/>
      </xdr:nvGraphicFramePr>
      <xdr:xfrm>
        <a:off x="8027280" y="3290040"/>
        <a:ext cx="3290040" cy="2312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303480</xdr:colOff>
      <xdr:row>44</xdr:row>
      <xdr:rowOff>152640</xdr:rowOff>
    </xdr:from>
    <xdr:to>
      <xdr:col>9</xdr:col>
      <xdr:colOff>402480</xdr:colOff>
      <xdr:row>59</xdr:row>
      <xdr:rowOff>129240</xdr:rowOff>
    </xdr:to>
    <xdr:graphicFrame>
      <xdr:nvGraphicFramePr>
        <xdr:cNvPr id="3" name=""/>
        <xdr:cNvGraphicFramePr/>
      </xdr:nvGraphicFramePr>
      <xdr:xfrm>
        <a:off x="7544160" y="7521120"/>
        <a:ext cx="4293360" cy="24148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19" createdVersion="3">
  <cacheSource type="worksheet">
    <worksheetSource ref="D1:I20" sheet="cleaned_ecommerce_sales"/>
  </cacheSource>
  <cacheFields count="6">
    <cacheField name="category" numFmtId="0">
      <sharedItems count="3">
        <s v="Electronics"/>
        <s v="Furniture"/>
        <s v="Uncategorized"/>
      </sharedItems>
    </cacheField>
    <cacheField name="quantity" numFmtId="0">
      <sharedItems containsSemiMixedTypes="0" containsString="0" containsNumber="1" containsInteger="1" minValue="1" maxValue="5" count="5">
        <n v="1"/>
        <n v="2"/>
        <n v="3"/>
        <n v="4"/>
        <n v="5"/>
      </sharedItems>
    </cacheField>
    <cacheField name="unit_price" numFmtId="0">
      <sharedItems containsSemiMixedTypes="0" containsString="0" containsNumber="1" containsInteger="1" minValue="1200" maxValue="55000" count="6">
        <n v="1200"/>
        <n v="1800"/>
        <n v="3500"/>
        <n v="8500"/>
        <n v="15000"/>
        <n v="55000"/>
      </sharedItems>
    </cacheField>
    <cacheField name="order_date" numFmtId="0">
      <sharedItems count="15">
        <s v="2026-01-05"/>
        <s v="2026-01-06"/>
        <s v="2026-01-07"/>
        <s v="2026-01-09"/>
        <s v="2026-01-10"/>
        <s v="2026-01-12"/>
        <s v="2026-01-14"/>
        <s v="2026-01-15"/>
        <s v="2026-01-16"/>
        <s v="2026-01-17"/>
        <s v="2026-01-19"/>
        <s v="2026-01-21"/>
        <s v="2026-01-22"/>
        <s v="2026-01-23"/>
        <s v="2026-01-24"/>
      </sharedItems>
    </cacheField>
    <cacheField name="region" numFmtId="0">
      <sharedItems count="4">
        <s v="East"/>
        <s v="North"/>
        <s v="South"/>
        <s v="West"/>
      </sharedItems>
    </cacheField>
    <cacheField name="revenue" numFmtId="0">
      <sharedItems containsSemiMixedTypes="0" containsString="0" containsNumber="1" containsInteger="1" minValue="2400" maxValue="110000" count="14">
        <n v="2400"/>
        <n v="3600"/>
        <n v="5400"/>
        <n v="6000"/>
        <n v="7000"/>
        <n v="7200"/>
        <n v="8500"/>
        <n v="10500"/>
        <n v="14000"/>
        <n v="15000"/>
        <n v="17000"/>
        <n v="30000"/>
        <n v="55000"/>
        <n v="110000"/>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19" createdVersion="3">
  <cacheSource type="worksheet">
    <worksheetSource ref="A1:I20" sheet="cleaned_ecommerce_sales"/>
  </cacheSource>
  <cacheFields count="9">
    <cacheField name="order_id" numFmtId="0">
      <sharedItems count="19">
        <s v="ORD001"/>
        <s v="ORD002"/>
        <s v="ORD003"/>
        <s v="ORD004"/>
        <s v="ORD005"/>
        <s v="ORD006"/>
        <s v="ORD007"/>
        <s v="ORD008"/>
        <s v="ORD009"/>
        <s v="ORD010"/>
        <s v="ORD011"/>
        <s v="ORD012"/>
        <s v="ORD013"/>
        <s v="ORD014"/>
        <s v="ORD015"/>
        <s v="ORD017"/>
        <s v="ORD018"/>
        <s v="ORD019"/>
        <s v="ORD020"/>
      </sharedItems>
    </cacheField>
    <cacheField name="customer_name" numFmtId="0">
      <sharedItems count="17">
        <s v="Amit Shah"/>
        <s v="Ananya Reddy"/>
        <s v="Anil Kumar"/>
        <s v="Arjun Kumar"/>
        <s v="Divya Nair"/>
        <s v="Kiran Patel"/>
        <s v="Meena Das"/>
        <s v="Neha Verma"/>
        <s v="Pooja Singh"/>
        <s v="Priya Reddy"/>
        <s v="Rahul Sharma"/>
        <s v="Ravi Kumar"/>
        <s v="Rohit Mehta"/>
        <s v="Sneha Rao"/>
        <s v="Suresh Babu"/>
        <s v="Unknown"/>
        <s v="Vikram Singh"/>
      </sharedItems>
    </cacheField>
    <cacheField name="product" numFmtId="0">
      <sharedItems count="6">
        <s v="Headphones"/>
        <s v="Keyboard"/>
        <s v="Laptop"/>
        <s v="Monitor"/>
        <s v="Office Chair"/>
        <s v="Wireless Mouse"/>
      </sharedItems>
    </cacheField>
    <cacheField name="category" numFmtId="0">
      <sharedItems count="3">
        <s v="Electronics"/>
        <s v="Furniture"/>
        <s v="Uncategorized"/>
      </sharedItems>
    </cacheField>
    <cacheField name="quantity" numFmtId="0">
      <sharedItems containsSemiMixedTypes="0" containsString="0" containsNumber="1" containsInteger="1" minValue="1" maxValue="5" count="5">
        <n v="1"/>
        <n v="2"/>
        <n v="3"/>
        <n v="4"/>
        <n v="5"/>
      </sharedItems>
    </cacheField>
    <cacheField name="unit_price" numFmtId="0">
      <sharedItems containsSemiMixedTypes="0" containsString="0" containsNumber="1" containsInteger="1" minValue="1200" maxValue="55000" count="6">
        <n v="1200"/>
        <n v="1800"/>
        <n v="3500"/>
        <n v="8500"/>
        <n v="15000"/>
        <n v="55000"/>
      </sharedItems>
    </cacheField>
    <cacheField name="order_date" numFmtId="0">
      <sharedItems count="15">
        <s v="2026-01-05"/>
        <s v="2026-01-06"/>
        <s v="2026-01-07"/>
        <s v="2026-01-09"/>
        <s v="2026-01-10"/>
        <s v="2026-01-12"/>
        <s v="2026-01-14"/>
        <s v="2026-01-15"/>
        <s v="2026-01-16"/>
        <s v="2026-01-17"/>
        <s v="2026-01-19"/>
        <s v="2026-01-21"/>
        <s v="2026-01-22"/>
        <s v="2026-01-23"/>
        <s v="2026-01-24"/>
      </sharedItems>
    </cacheField>
    <cacheField name="region" numFmtId="0">
      <sharedItems count="4">
        <s v="East"/>
        <s v="North"/>
        <s v="South"/>
        <s v="West"/>
      </sharedItems>
    </cacheField>
    <cacheField name="revenue" numFmtId="0">
      <sharedItems containsSemiMixedTypes="0" containsString="0" containsNumber="1" containsInteger="1" minValue="2400" maxValue="110000" count="14">
        <n v="2400"/>
        <n v="3600"/>
        <n v="5400"/>
        <n v="6000"/>
        <n v="7000"/>
        <n v="7200"/>
        <n v="8500"/>
        <n v="10500"/>
        <n v="14000"/>
        <n v="15000"/>
        <n v="17000"/>
        <n v="30000"/>
        <n v="55000"/>
        <n v="110000"/>
      </sharedItems>
    </cacheField>
  </cacheFields>
</pivotCacheDefinition>
</file>

<file path=xl/pivotCache/pivotCacheRecords1.xml><?xml version="1.0" encoding="utf-8"?>
<pivotCacheRecords xmlns="http://schemas.openxmlformats.org/spreadsheetml/2006/main" xmlns:r="http://schemas.openxmlformats.org/officeDocument/2006/relationships" count="19">
  <r>
    <x v="0"/>
    <x v="1"/>
    <x v="5"/>
    <x v="0"/>
    <x v="2"/>
    <x v="13"/>
  </r>
  <r>
    <x v="0"/>
    <x v="4"/>
    <x v="0"/>
    <x v="1"/>
    <x v="2"/>
    <x v="3"/>
  </r>
  <r>
    <x v="0"/>
    <x v="2"/>
    <x v="1"/>
    <x v="2"/>
    <x v="2"/>
    <x v="2"/>
  </r>
  <r>
    <x v="0"/>
    <x v="0"/>
    <x v="4"/>
    <x v="7"/>
    <x v="1"/>
    <x v="9"/>
  </r>
  <r>
    <x v="0"/>
    <x v="0"/>
    <x v="5"/>
    <x v="3"/>
    <x v="2"/>
    <x v="12"/>
  </r>
  <r>
    <x v="1"/>
    <x v="1"/>
    <x v="3"/>
    <x v="4"/>
    <x v="3"/>
    <x v="10"/>
  </r>
  <r>
    <x v="0"/>
    <x v="1"/>
    <x v="0"/>
    <x v="7"/>
    <x v="2"/>
    <x v="0"/>
  </r>
  <r>
    <x v="0"/>
    <x v="3"/>
    <x v="2"/>
    <x v="5"/>
    <x v="0"/>
    <x v="8"/>
  </r>
  <r>
    <x v="2"/>
    <x v="1"/>
    <x v="1"/>
    <x v="7"/>
    <x v="2"/>
    <x v="1"/>
  </r>
  <r>
    <x v="0"/>
    <x v="1"/>
    <x v="2"/>
    <x v="6"/>
    <x v="1"/>
    <x v="4"/>
  </r>
  <r>
    <x v="1"/>
    <x v="0"/>
    <x v="3"/>
    <x v="7"/>
    <x v="3"/>
    <x v="6"/>
  </r>
  <r>
    <x v="0"/>
    <x v="2"/>
    <x v="0"/>
    <x v="8"/>
    <x v="2"/>
    <x v="1"/>
  </r>
  <r>
    <x v="0"/>
    <x v="1"/>
    <x v="4"/>
    <x v="9"/>
    <x v="1"/>
    <x v="11"/>
  </r>
  <r>
    <x v="0"/>
    <x v="1"/>
    <x v="2"/>
    <x v="7"/>
    <x v="0"/>
    <x v="4"/>
  </r>
  <r>
    <x v="0"/>
    <x v="0"/>
    <x v="5"/>
    <x v="10"/>
    <x v="2"/>
    <x v="12"/>
  </r>
  <r>
    <x v="0"/>
    <x v="3"/>
    <x v="1"/>
    <x v="11"/>
    <x v="2"/>
    <x v="5"/>
  </r>
  <r>
    <x v="0"/>
    <x v="1"/>
    <x v="4"/>
    <x v="12"/>
    <x v="1"/>
    <x v="11"/>
  </r>
  <r>
    <x v="1"/>
    <x v="0"/>
    <x v="3"/>
    <x v="13"/>
    <x v="3"/>
    <x v="6"/>
  </r>
  <r>
    <x v="0"/>
    <x v="2"/>
    <x v="2"/>
    <x v="14"/>
    <x v="2"/>
    <x v="7"/>
  </r>
</pivotCacheRecords>
</file>

<file path=xl/pivotCache/pivotCacheRecords2.xml><?xml version="1.0" encoding="utf-8"?>
<pivotCacheRecords xmlns="http://schemas.openxmlformats.org/spreadsheetml/2006/main" xmlns:r="http://schemas.openxmlformats.org/officeDocument/2006/relationships" count="19">
  <r>
    <x v="0"/>
    <x v="10"/>
    <x v="2"/>
    <x v="0"/>
    <x v="1"/>
    <x v="5"/>
    <x v="0"/>
    <x v="2"/>
    <x v="13"/>
  </r>
  <r>
    <x v="1"/>
    <x v="9"/>
    <x v="5"/>
    <x v="0"/>
    <x v="4"/>
    <x v="0"/>
    <x v="1"/>
    <x v="2"/>
    <x v="3"/>
  </r>
  <r>
    <x v="2"/>
    <x v="3"/>
    <x v="1"/>
    <x v="0"/>
    <x v="2"/>
    <x v="1"/>
    <x v="2"/>
    <x v="2"/>
    <x v="2"/>
  </r>
  <r>
    <x v="3"/>
    <x v="15"/>
    <x v="3"/>
    <x v="0"/>
    <x v="0"/>
    <x v="4"/>
    <x v="7"/>
    <x v="1"/>
    <x v="9"/>
  </r>
  <r>
    <x v="4"/>
    <x v="13"/>
    <x v="2"/>
    <x v="0"/>
    <x v="0"/>
    <x v="5"/>
    <x v="3"/>
    <x v="2"/>
    <x v="12"/>
  </r>
  <r>
    <x v="5"/>
    <x v="16"/>
    <x v="4"/>
    <x v="1"/>
    <x v="1"/>
    <x v="3"/>
    <x v="4"/>
    <x v="3"/>
    <x v="10"/>
  </r>
  <r>
    <x v="6"/>
    <x v="1"/>
    <x v="5"/>
    <x v="0"/>
    <x v="1"/>
    <x v="0"/>
    <x v="7"/>
    <x v="2"/>
    <x v="0"/>
  </r>
  <r>
    <x v="7"/>
    <x v="5"/>
    <x v="0"/>
    <x v="0"/>
    <x v="3"/>
    <x v="2"/>
    <x v="5"/>
    <x v="0"/>
    <x v="8"/>
  </r>
  <r>
    <x v="8"/>
    <x v="15"/>
    <x v="1"/>
    <x v="2"/>
    <x v="1"/>
    <x v="1"/>
    <x v="7"/>
    <x v="2"/>
    <x v="1"/>
  </r>
  <r>
    <x v="9"/>
    <x v="6"/>
    <x v="2"/>
    <x v="0"/>
    <x v="1"/>
    <x v="2"/>
    <x v="6"/>
    <x v="1"/>
    <x v="4"/>
  </r>
  <r>
    <x v="10"/>
    <x v="11"/>
    <x v="4"/>
    <x v="1"/>
    <x v="0"/>
    <x v="3"/>
    <x v="7"/>
    <x v="3"/>
    <x v="6"/>
  </r>
  <r>
    <x v="11"/>
    <x v="9"/>
    <x v="5"/>
    <x v="0"/>
    <x v="2"/>
    <x v="0"/>
    <x v="8"/>
    <x v="2"/>
    <x v="1"/>
  </r>
  <r>
    <x v="12"/>
    <x v="0"/>
    <x v="3"/>
    <x v="0"/>
    <x v="1"/>
    <x v="4"/>
    <x v="9"/>
    <x v="1"/>
    <x v="11"/>
  </r>
  <r>
    <x v="13"/>
    <x v="7"/>
    <x v="0"/>
    <x v="0"/>
    <x v="1"/>
    <x v="2"/>
    <x v="7"/>
    <x v="0"/>
    <x v="4"/>
  </r>
  <r>
    <x v="14"/>
    <x v="12"/>
    <x v="2"/>
    <x v="0"/>
    <x v="0"/>
    <x v="5"/>
    <x v="10"/>
    <x v="2"/>
    <x v="12"/>
  </r>
  <r>
    <x v="15"/>
    <x v="4"/>
    <x v="1"/>
    <x v="0"/>
    <x v="3"/>
    <x v="1"/>
    <x v="11"/>
    <x v="2"/>
    <x v="5"/>
  </r>
  <r>
    <x v="16"/>
    <x v="14"/>
    <x v="3"/>
    <x v="0"/>
    <x v="1"/>
    <x v="4"/>
    <x v="12"/>
    <x v="1"/>
    <x v="11"/>
  </r>
  <r>
    <x v="17"/>
    <x v="8"/>
    <x v="4"/>
    <x v="1"/>
    <x v="0"/>
    <x v="3"/>
    <x v="13"/>
    <x v="3"/>
    <x v="6"/>
  </r>
  <r>
    <x v="18"/>
    <x v="2"/>
    <x v="0"/>
    <x v="0"/>
    <x v="2"/>
    <x v="2"/>
    <x v="14"/>
    <x v="2"/>
    <x v="7"/>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useAutoFormatting="0" itemPrintTitles="1" indent="0" outline="0" outlineData="0" compact="0" compactData="0">
  <location ref="A1:B5" firstHeaderRow="1" firstDataRow="1" firstDataCol="1"/>
  <pivotFields count="6">
    <pivotField axis="axisRow" showAll="0" defaultSubtotal="0" compact="0" outline="0">
      <items count="3">
        <item x="0"/>
        <item x="1"/>
        <item x="2"/>
      </items>
    </pivotField>
    <pivotField showAll="0" compact="0"/>
    <pivotField showAll="0" compact="0"/>
    <pivotField showAll="0" compact="0"/>
    <pivotField showAll="0" compact="0"/>
    <pivotField dataField="1" showAll="0" compact="0" outline="0"/>
  </pivotFields>
  <rowFields count="1">
    <field x="0"/>
  </rowFields>
  <dataFields count="1">
    <dataField fld="5" subtotal="sum"/>
  </dataFields>
</pivotTableDefinition>
</file>

<file path=xl/pivotTables/pivotTable2.xml><?xml version="1.0" encoding="utf-8"?>
<pivotTableDefinition xmlns="http://schemas.openxmlformats.org/spreadsheetml/2006/main" name="DataPilot2" cacheId="1" applyNumberFormats="0" applyBorderFormats="0" applyFontFormats="0" applyPatternFormats="0" applyAlignmentFormats="0" applyWidthHeightFormats="0" dataCaption="Values" useAutoFormatting="0" itemPrintTitles="1" indent="0" outline="0" outlineData="0" compact="0" compactData="0">
  <location ref="A1:B6" firstHeaderRow="1" firstDataRow="1" firstDataCol="1"/>
  <pivotFields count="6">
    <pivotField showAll="0" compact="0"/>
    <pivotField showAll="0" compact="0"/>
    <pivotField showAll="0" compact="0"/>
    <pivotField showAll="0" compact="0"/>
    <pivotField axis="axisRow" showAll="0" defaultSubtotal="0" compact="0" outline="0">
      <items count="4">
        <item x="0"/>
        <item x="1"/>
        <item x="2"/>
        <item x="3"/>
      </items>
    </pivotField>
    <pivotField dataField="1" showAll="0" compact="0" outline="0"/>
  </pivotFields>
  <rowFields count="1">
    <field x="4"/>
  </rowFields>
  <dataFields count="1">
    <dataField fld="5" subtotal="sum"/>
  </dataFields>
</pivotTableDefinition>
</file>

<file path=xl/pivotTables/pivotTable3.xml><?xml version="1.0" encoding="utf-8"?>
<pivotTableDefinition xmlns="http://schemas.openxmlformats.org/spreadsheetml/2006/main" name="DataPilot3" cacheId="1" applyNumberFormats="0" applyBorderFormats="0" applyFontFormats="0" applyPatternFormats="0" applyAlignmentFormats="0" applyWidthHeightFormats="0" dataCaption="Values" useAutoFormatting="0" itemPrintTitles="1" indent="0" outline="0" outlineData="0" compact="0" compactData="0">
  <location ref="A1:B5" firstHeaderRow="1" firstDataRow="1" firstDataCol="1"/>
  <pivotFields count="6">
    <pivotField axis="axisRow" showAll="0" defaultSubtotal="0" compact="0" outline="0">
      <items count="3">
        <item x="0"/>
        <item x="1"/>
        <item x="2"/>
      </items>
    </pivotField>
    <pivotField dataField="1" showAll="0" compact="0" outline="0"/>
    <pivotField showAll="0" compact="0"/>
    <pivotField showAll="0" compact="0"/>
    <pivotField showAll="0" compact="0"/>
    <pivotField showAll="0" compact="0"/>
  </pivotFields>
  <rowFields count="1">
    <field x="0"/>
  </rowFields>
  <dataFields count="1">
    <dataField fld="1" subtotal="sum"/>
  </dataFields>
</pivotTableDefinition>
</file>

<file path=xl/pivotTables/pivotTable4.xml><?xml version="1.0" encoding="utf-8"?>
<pivotTableDefinition xmlns="http://schemas.openxmlformats.org/spreadsheetml/2006/main" name="DataPilot4" cacheId="2" applyNumberFormats="0" applyBorderFormats="0" applyFontFormats="0" applyPatternFormats="0" applyAlignmentFormats="0" applyWidthHeightFormats="0" dataCaption="Values" useAutoFormatting="0" itemPrintTitles="1" indent="0" outline="0" outlineData="0" compact="0" compactData="0">
  <location ref="A1:B8" firstHeaderRow="1" firstDataRow="1" firstDataCol="1"/>
  <pivotFields count="9">
    <pivotField showAll="0" compact="0"/>
    <pivotField showAll="0" compact="0"/>
    <pivotField axis="axisRow" showAll="0" defaultSubtotal="0" compact="0" outline="0">
      <items count="6">
        <item x="0"/>
        <item x="1"/>
        <item x="2"/>
        <item x="3"/>
        <item x="4"/>
        <item x="5"/>
      </items>
    </pivotField>
    <pivotField showAll="0" compact="0"/>
    <pivotField showAll="0" compact="0"/>
    <pivotField showAll="0" compact="0"/>
    <pivotField showAll="0" compact="0"/>
    <pivotField showAll="0" compact="0"/>
    <pivotField dataField="1" showAll="0" compact="0" outline="0"/>
  </pivotFields>
  <rowFields count="1">
    <field x="2"/>
  </rowFields>
  <dataFields count="1">
    <dataField fld="8" subtotal="sum"/>
  </dataFields>
</pivotTableDefinition>
</file>

<file path=xl/worksheets/_rels/sheet2.xml.rels><?xml version="1.0" encoding="UTF-8"?>
<Relationships xmlns="http://schemas.openxmlformats.org/package/2006/relationships"><Relationship Id="rId1" Type="http://schemas.openxmlformats.org/officeDocument/2006/relationships/pivotTable" Target="../pivotTables/pivotTable4.xml"/>
</Relationships>
</file>

<file path=xl/worksheets/_rels/sheet3.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4.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RowHeight="12.8" zeroHeight="false" outlineLevelRow="0" outlineLevelCol="0"/>
  <cols>
    <col collapsed="false" customWidth="true" hidden="false" outlineLevel="0" max="1" min="1" style="0" width="8.01"/>
    <col collapsed="false" customWidth="true" hidden="false" outlineLevel="0" max="2" min="2" style="0" width="14.46"/>
    <col collapsed="false" customWidth="true" hidden="false" outlineLevel="0" max="3" min="3" style="0" width="14.28"/>
    <col collapsed="false" customWidth="true" hidden="false" outlineLevel="0" max="4" min="4" style="0" width="13.02"/>
    <col collapsed="false" customWidth="true" hidden="false" outlineLevel="0" max="5" min="5" style="0" width="7.74"/>
    <col collapsed="false" customWidth="true" hidden="false" outlineLevel="0" max="6" min="6" style="0" width="9.19"/>
    <col collapsed="false" customWidth="true" hidden="false" outlineLevel="0" max="7" min="7" style="0" width="10.19"/>
    <col collapsed="false" customWidth="true" hidden="false" outlineLevel="0" max="8" min="8" style="0" width="6.37"/>
    <col collapsed="false" customWidth="true" hidden="false" outlineLevel="0" max="9" min="9" style="0" width="7.92"/>
    <col collapsed="false" customWidth="false" hidden="false" outlineLevel="0" max="1025" min="10" style="0" width="11.52"/>
  </cols>
  <sheetData>
    <row r="1" customFormat="false" ht="12.8" hidden="false" customHeight="false" outlineLevel="0" collapsed="false">
      <c r="A1" s="0" t="s">
        <v>0</v>
      </c>
      <c r="B1" s="0" t="s">
        <v>1</v>
      </c>
      <c r="C1" s="0" t="s">
        <v>2</v>
      </c>
      <c r="D1" s="0" t="s">
        <v>3</v>
      </c>
      <c r="E1" s="0" t="s">
        <v>4</v>
      </c>
      <c r="F1" s="0" t="s">
        <v>5</v>
      </c>
      <c r="G1" s="0" t="s">
        <v>6</v>
      </c>
      <c r="H1" s="0" t="s">
        <v>7</v>
      </c>
      <c r="I1" s="0" t="s">
        <v>8</v>
      </c>
    </row>
    <row r="2" customFormat="false" ht="12.8" hidden="false" customHeight="false" outlineLevel="0" collapsed="false">
      <c r="A2" s="0" t="s">
        <v>9</v>
      </c>
      <c r="B2" s="0" t="s">
        <v>10</v>
      </c>
      <c r="C2" s="0" t="s">
        <v>11</v>
      </c>
      <c r="D2" s="0" t="s">
        <v>12</v>
      </c>
      <c r="E2" s="0" t="n">
        <v>2</v>
      </c>
      <c r="F2" s="0" t="n">
        <v>55000</v>
      </c>
      <c r="G2" s="1" t="s">
        <v>13</v>
      </c>
      <c r="H2" s="0" t="s">
        <v>14</v>
      </c>
      <c r="I2" s="0" t="n">
        <v>110000</v>
      </c>
    </row>
    <row r="3" customFormat="false" ht="12.8" hidden="false" customHeight="false" outlineLevel="0" collapsed="false">
      <c r="A3" s="0" t="s">
        <v>15</v>
      </c>
      <c r="B3" s="0" t="s">
        <v>16</v>
      </c>
      <c r="C3" s="0" t="s">
        <v>17</v>
      </c>
      <c r="D3" s="0" t="s">
        <v>12</v>
      </c>
      <c r="E3" s="0" t="n">
        <v>5</v>
      </c>
      <c r="F3" s="0" t="n">
        <v>1200</v>
      </c>
      <c r="G3" s="1" t="s">
        <v>18</v>
      </c>
      <c r="H3" s="0" t="s">
        <v>14</v>
      </c>
      <c r="I3" s="0" t="n">
        <v>6000</v>
      </c>
    </row>
    <row r="4" customFormat="false" ht="12.8" hidden="false" customHeight="false" outlineLevel="0" collapsed="false">
      <c r="A4" s="0" t="s">
        <v>19</v>
      </c>
      <c r="B4" s="0" t="s">
        <v>20</v>
      </c>
      <c r="C4" s="0" t="s">
        <v>21</v>
      </c>
      <c r="D4" s="0" t="s">
        <v>12</v>
      </c>
      <c r="E4" s="0" t="n">
        <v>3</v>
      </c>
      <c r="F4" s="0" t="n">
        <v>1800</v>
      </c>
      <c r="G4" s="1" t="s">
        <v>22</v>
      </c>
      <c r="H4" s="0" t="s">
        <v>14</v>
      </c>
      <c r="I4" s="0" t="n">
        <v>5400</v>
      </c>
    </row>
    <row r="5" customFormat="false" ht="12.8" hidden="false" customHeight="false" outlineLevel="0" collapsed="false">
      <c r="A5" s="0" t="s">
        <v>23</v>
      </c>
      <c r="B5" s="0" t="s">
        <v>24</v>
      </c>
      <c r="C5" s="0" t="s">
        <v>25</v>
      </c>
      <c r="D5" s="0" t="s">
        <v>12</v>
      </c>
      <c r="E5" s="0" t="n">
        <v>1</v>
      </c>
      <c r="F5" s="0" t="n">
        <v>15000</v>
      </c>
      <c r="G5" s="1" t="s">
        <v>26</v>
      </c>
      <c r="H5" s="0" t="s">
        <v>27</v>
      </c>
      <c r="I5" s="0" t="n">
        <v>15000</v>
      </c>
    </row>
    <row r="6" customFormat="false" ht="12.8" hidden="false" customHeight="false" outlineLevel="0" collapsed="false">
      <c r="A6" s="0" t="s">
        <v>28</v>
      </c>
      <c r="B6" s="0" t="s">
        <v>29</v>
      </c>
      <c r="C6" s="0" t="s">
        <v>11</v>
      </c>
      <c r="D6" s="0" t="s">
        <v>12</v>
      </c>
      <c r="E6" s="0" t="n">
        <v>1</v>
      </c>
      <c r="F6" s="0" t="n">
        <v>55000</v>
      </c>
      <c r="G6" s="1" t="s">
        <v>30</v>
      </c>
      <c r="H6" s="0" t="s">
        <v>14</v>
      </c>
      <c r="I6" s="0" t="n">
        <v>55000</v>
      </c>
    </row>
    <row r="7" customFormat="false" ht="12.8" hidden="false" customHeight="false" outlineLevel="0" collapsed="false">
      <c r="A7" s="0" t="s">
        <v>31</v>
      </c>
      <c r="B7" s="0" t="s">
        <v>32</v>
      </c>
      <c r="C7" s="0" t="s">
        <v>33</v>
      </c>
      <c r="D7" s="0" t="s">
        <v>34</v>
      </c>
      <c r="E7" s="0" t="n">
        <v>2</v>
      </c>
      <c r="F7" s="0" t="n">
        <v>8500</v>
      </c>
      <c r="G7" s="1" t="s">
        <v>35</v>
      </c>
      <c r="H7" s="0" t="s">
        <v>36</v>
      </c>
      <c r="I7" s="0" t="n">
        <v>17000</v>
      </c>
    </row>
    <row r="8" customFormat="false" ht="12.8" hidden="false" customHeight="false" outlineLevel="0" collapsed="false">
      <c r="A8" s="0" t="s">
        <v>37</v>
      </c>
      <c r="B8" s="0" t="s">
        <v>38</v>
      </c>
      <c r="C8" s="0" t="s">
        <v>17</v>
      </c>
      <c r="D8" s="0" t="s">
        <v>12</v>
      </c>
      <c r="E8" s="0" t="n">
        <v>2</v>
      </c>
      <c r="F8" s="0" t="n">
        <v>1200</v>
      </c>
      <c r="G8" s="1" t="s">
        <v>26</v>
      </c>
      <c r="H8" s="0" t="s">
        <v>14</v>
      </c>
      <c r="I8" s="0" t="n">
        <v>2400</v>
      </c>
    </row>
    <row r="9" customFormat="false" ht="12.8" hidden="false" customHeight="false" outlineLevel="0" collapsed="false">
      <c r="A9" s="0" t="s">
        <v>39</v>
      </c>
      <c r="B9" s="0" t="s">
        <v>40</v>
      </c>
      <c r="C9" s="0" t="s">
        <v>41</v>
      </c>
      <c r="D9" s="0" t="s">
        <v>12</v>
      </c>
      <c r="E9" s="0" t="n">
        <v>4</v>
      </c>
      <c r="F9" s="0" t="n">
        <v>3500</v>
      </c>
      <c r="G9" s="1" t="s">
        <v>42</v>
      </c>
      <c r="H9" s="0" t="s">
        <v>43</v>
      </c>
      <c r="I9" s="0" t="n">
        <v>14000</v>
      </c>
    </row>
    <row r="10" customFormat="false" ht="12.8" hidden="false" customHeight="false" outlineLevel="0" collapsed="false">
      <c r="A10" s="0" t="s">
        <v>44</v>
      </c>
      <c r="B10" s="0" t="s">
        <v>24</v>
      </c>
      <c r="C10" s="0" t="s">
        <v>21</v>
      </c>
      <c r="D10" s="0" t="s">
        <v>45</v>
      </c>
      <c r="E10" s="0" t="n">
        <v>2</v>
      </c>
      <c r="F10" s="0" t="n">
        <v>1800</v>
      </c>
      <c r="G10" s="1" t="s">
        <v>26</v>
      </c>
      <c r="H10" s="0" t="s">
        <v>14</v>
      </c>
      <c r="I10" s="0" t="n">
        <v>3600</v>
      </c>
    </row>
    <row r="11" customFormat="false" ht="12.8" hidden="false" customHeight="false" outlineLevel="0" collapsed="false">
      <c r="A11" s="0" t="s">
        <v>46</v>
      </c>
      <c r="B11" s="0" t="s">
        <v>47</v>
      </c>
      <c r="C11" s="0" t="s">
        <v>11</v>
      </c>
      <c r="D11" s="0" t="s">
        <v>12</v>
      </c>
      <c r="E11" s="0" t="n">
        <v>2</v>
      </c>
      <c r="F11" s="0" t="n">
        <v>3500</v>
      </c>
      <c r="G11" s="1" t="s">
        <v>48</v>
      </c>
      <c r="H11" s="0" t="s">
        <v>27</v>
      </c>
      <c r="I11" s="0" t="n">
        <v>7000</v>
      </c>
    </row>
    <row r="12" customFormat="false" ht="12.8" hidden="false" customHeight="false" outlineLevel="0" collapsed="false">
      <c r="A12" s="0" t="s">
        <v>49</v>
      </c>
      <c r="B12" s="0" t="s">
        <v>50</v>
      </c>
      <c r="C12" s="0" t="s">
        <v>33</v>
      </c>
      <c r="D12" s="0" t="s">
        <v>34</v>
      </c>
      <c r="E12" s="0" t="n">
        <v>1</v>
      </c>
      <c r="F12" s="0" t="n">
        <v>8500</v>
      </c>
      <c r="G12" s="1" t="s">
        <v>26</v>
      </c>
      <c r="H12" s="0" t="s">
        <v>36</v>
      </c>
      <c r="I12" s="0" t="n">
        <v>8500</v>
      </c>
    </row>
    <row r="13" customFormat="false" ht="12.8" hidden="false" customHeight="false" outlineLevel="0" collapsed="false">
      <c r="A13" s="0" t="s">
        <v>51</v>
      </c>
      <c r="B13" s="0" t="s">
        <v>16</v>
      </c>
      <c r="C13" s="0" t="s">
        <v>17</v>
      </c>
      <c r="D13" s="0" t="s">
        <v>12</v>
      </c>
      <c r="E13" s="0" t="n">
        <v>3</v>
      </c>
      <c r="F13" s="0" t="n">
        <v>1200</v>
      </c>
      <c r="G13" s="1" t="s">
        <v>52</v>
      </c>
      <c r="H13" s="0" t="s">
        <v>14</v>
      </c>
      <c r="I13" s="0" t="n">
        <v>3600</v>
      </c>
    </row>
    <row r="14" customFormat="false" ht="12.8" hidden="false" customHeight="false" outlineLevel="0" collapsed="false">
      <c r="A14" s="0" t="s">
        <v>53</v>
      </c>
      <c r="B14" s="0" t="s">
        <v>54</v>
      </c>
      <c r="C14" s="0" t="s">
        <v>25</v>
      </c>
      <c r="D14" s="0" t="s">
        <v>12</v>
      </c>
      <c r="E14" s="0" t="n">
        <v>2</v>
      </c>
      <c r="F14" s="0" t="n">
        <v>15000</v>
      </c>
      <c r="G14" s="1" t="s">
        <v>55</v>
      </c>
      <c r="H14" s="0" t="s">
        <v>27</v>
      </c>
      <c r="I14" s="0" t="n">
        <v>30000</v>
      </c>
    </row>
    <row r="15" customFormat="false" ht="12.8" hidden="false" customHeight="false" outlineLevel="0" collapsed="false">
      <c r="A15" s="0" t="s">
        <v>56</v>
      </c>
      <c r="B15" s="0" t="s">
        <v>57</v>
      </c>
      <c r="C15" s="0" t="s">
        <v>41</v>
      </c>
      <c r="D15" s="0" t="s">
        <v>12</v>
      </c>
      <c r="E15" s="0" t="n">
        <v>2</v>
      </c>
      <c r="F15" s="0" t="n">
        <v>3500</v>
      </c>
      <c r="G15" s="1" t="s">
        <v>26</v>
      </c>
      <c r="H15" s="0" t="s">
        <v>43</v>
      </c>
      <c r="I15" s="0" t="n">
        <v>7000</v>
      </c>
    </row>
    <row r="16" customFormat="false" ht="12.8" hidden="false" customHeight="false" outlineLevel="0" collapsed="false">
      <c r="A16" s="0" t="s">
        <v>58</v>
      </c>
      <c r="B16" s="0" t="s">
        <v>59</v>
      </c>
      <c r="C16" s="0" t="s">
        <v>11</v>
      </c>
      <c r="D16" s="0" t="s">
        <v>12</v>
      </c>
      <c r="E16" s="0" t="n">
        <v>1</v>
      </c>
      <c r="F16" s="0" t="n">
        <v>55000</v>
      </c>
      <c r="G16" s="1" t="s">
        <v>60</v>
      </c>
      <c r="H16" s="0" t="s">
        <v>14</v>
      </c>
      <c r="I16" s="0" t="n">
        <v>55000</v>
      </c>
    </row>
    <row r="17" customFormat="false" ht="12.8" hidden="false" customHeight="false" outlineLevel="0" collapsed="false">
      <c r="A17" s="0" t="s">
        <v>61</v>
      </c>
      <c r="B17" s="0" t="s">
        <v>62</v>
      </c>
      <c r="C17" s="0" t="s">
        <v>21</v>
      </c>
      <c r="D17" s="0" t="s">
        <v>12</v>
      </c>
      <c r="E17" s="0" t="n">
        <v>4</v>
      </c>
      <c r="F17" s="0" t="n">
        <v>1800</v>
      </c>
      <c r="G17" s="1" t="s">
        <v>63</v>
      </c>
      <c r="H17" s="0" t="s">
        <v>14</v>
      </c>
      <c r="I17" s="0" t="n">
        <v>7200</v>
      </c>
    </row>
    <row r="18" customFormat="false" ht="12.8" hidden="false" customHeight="false" outlineLevel="0" collapsed="false">
      <c r="A18" s="0" t="s">
        <v>64</v>
      </c>
      <c r="B18" s="0" t="s">
        <v>65</v>
      </c>
      <c r="C18" s="0" t="s">
        <v>25</v>
      </c>
      <c r="D18" s="0" t="s">
        <v>12</v>
      </c>
      <c r="E18" s="0" t="n">
        <v>2</v>
      </c>
      <c r="F18" s="0" t="n">
        <v>15000</v>
      </c>
      <c r="G18" s="1" t="s">
        <v>66</v>
      </c>
      <c r="H18" s="0" t="s">
        <v>27</v>
      </c>
      <c r="I18" s="0" t="n">
        <v>30000</v>
      </c>
    </row>
    <row r="19" customFormat="false" ht="12.8" hidden="false" customHeight="false" outlineLevel="0" collapsed="false">
      <c r="A19" s="0" t="s">
        <v>67</v>
      </c>
      <c r="B19" s="0" t="s">
        <v>68</v>
      </c>
      <c r="C19" s="0" t="s">
        <v>33</v>
      </c>
      <c r="D19" s="0" t="s">
        <v>34</v>
      </c>
      <c r="E19" s="0" t="n">
        <v>1</v>
      </c>
      <c r="F19" s="0" t="n">
        <v>8500</v>
      </c>
      <c r="G19" s="1" t="s">
        <v>69</v>
      </c>
      <c r="H19" s="0" t="s">
        <v>36</v>
      </c>
      <c r="I19" s="0" t="n">
        <v>8500</v>
      </c>
    </row>
    <row r="20" customFormat="false" ht="12.8" hidden="false" customHeight="false" outlineLevel="0" collapsed="false">
      <c r="A20" s="0" t="s">
        <v>70</v>
      </c>
      <c r="B20" s="0" t="s">
        <v>71</v>
      </c>
      <c r="C20" s="0" t="s">
        <v>41</v>
      </c>
      <c r="D20" s="0" t="s">
        <v>12</v>
      </c>
      <c r="E20" s="0" t="n">
        <v>3</v>
      </c>
      <c r="F20" s="0" t="n">
        <v>3500</v>
      </c>
      <c r="G20" s="1" t="s">
        <v>72</v>
      </c>
      <c r="H20" s="0" t="s">
        <v>14</v>
      </c>
      <c r="I20" s="0" t="n">
        <v>10500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2" activeCellId="0" sqref="C2"/>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2</v>
      </c>
      <c r="B1" s="3" t="s">
        <v>73</v>
      </c>
    </row>
    <row r="2" customFormat="false" ht="12.8" hidden="false" customHeight="false" outlineLevel="0" collapsed="false">
      <c r="A2" s="4" t="s">
        <v>41</v>
      </c>
      <c r="B2" s="5" t="n">
        <v>31500</v>
      </c>
    </row>
    <row r="3" customFormat="false" ht="12.8" hidden="false" customHeight="false" outlineLevel="0" collapsed="false">
      <c r="A3" s="6" t="s">
        <v>21</v>
      </c>
      <c r="B3" s="7" t="n">
        <v>16200</v>
      </c>
    </row>
    <row r="4" customFormat="false" ht="12.8" hidden="false" customHeight="false" outlineLevel="0" collapsed="false">
      <c r="A4" s="6" t="s">
        <v>11</v>
      </c>
      <c r="B4" s="7" t="n">
        <v>227000</v>
      </c>
    </row>
    <row r="5" customFormat="false" ht="12.8" hidden="false" customHeight="false" outlineLevel="0" collapsed="false">
      <c r="A5" s="6" t="s">
        <v>25</v>
      </c>
      <c r="B5" s="7" t="n">
        <v>75000</v>
      </c>
    </row>
    <row r="6" customFormat="false" ht="12.8" hidden="false" customHeight="false" outlineLevel="0" collapsed="false">
      <c r="A6" s="6" t="s">
        <v>33</v>
      </c>
      <c r="B6" s="7" t="n">
        <v>34000</v>
      </c>
    </row>
    <row r="7" customFormat="false" ht="12.8" hidden="false" customHeight="false" outlineLevel="0" collapsed="false">
      <c r="A7" s="6" t="s">
        <v>17</v>
      </c>
      <c r="B7" s="8" t="n">
        <v>12000</v>
      </c>
    </row>
    <row r="8" customFormat="false" ht="12.8" hidden="false" customHeight="false" outlineLevel="0" collapsed="false">
      <c r="A8" s="9" t="s">
        <v>74</v>
      </c>
      <c r="B8" s="10" t="n">
        <v>395700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3</v>
      </c>
      <c r="B1" s="3" t="s">
        <v>75</v>
      </c>
    </row>
    <row r="2" customFormat="false" ht="12.8" hidden="false" customHeight="false" outlineLevel="0" collapsed="false">
      <c r="A2" s="4" t="s">
        <v>12</v>
      </c>
      <c r="B2" s="11" t="n">
        <v>37</v>
      </c>
    </row>
    <row r="3" customFormat="false" ht="12.8" hidden="false" customHeight="false" outlineLevel="0" collapsed="false">
      <c r="A3" s="6" t="s">
        <v>34</v>
      </c>
      <c r="B3" s="12" t="n">
        <v>4</v>
      </c>
    </row>
    <row r="4" customFormat="false" ht="12.8" hidden="false" customHeight="false" outlineLevel="0" collapsed="false">
      <c r="A4" s="6" t="s">
        <v>45</v>
      </c>
      <c r="B4" s="13" t="n">
        <v>2</v>
      </c>
    </row>
    <row r="5" customFormat="false" ht="12.8" hidden="false" customHeight="false" outlineLevel="0" collapsed="false">
      <c r="A5" s="9" t="s">
        <v>74</v>
      </c>
      <c r="B5" s="14" t="n">
        <v>43</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E17" activeCellId="0" sqref="E17"/>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7</v>
      </c>
      <c r="B1" s="3" t="s">
        <v>73</v>
      </c>
    </row>
    <row r="2" customFormat="false" ht="12.8" hidden="false" customHeight="false" outlineLevel="0" collapsed="false">
      <c r="A2" s="4" t="s">
        <v>43</v>
      </c>
      <c r="B2" s="5" t="n">
        <v>21000</v>
      </c>
    </row>
    <row r="3" customFormat="false" ht="12.8" hidden="false" customHeight="false" outlineLevel="0" collapsed="false">
      <c r="A3" s="6" t="s">
        <v>27</v>
      </c>
      <c r="B3" s="7" t="n">
        <v>82000</v>
      </c>
    </row>
    <row r="4" customFormat="false" ht="12.8" hidden="false" customHeight="false" outlineLevel="0" collapsed="false">
      <c r="A4" s="6" t="s">
        <v>14</v>
      </c>
      <c r="B4" s="7" t="n">
        <v>258700</v>
      </c>
    </row>
    <row r="5" customFormat="false" ht="12.8" hidden="false" customHeight="false" outlineLevel="0" collapsed="false">
      <c r="A5" s="6" t="s">
        <v>36</v>
      </c>
      <c r="B5" s="8" t="n">
        <v>34000</v>
      </c>
    </row>
    <row r="6" customFormat="false" ht="12.8" hidden="false" customHeight="false" outlineLevel="0" collapsed="false">
      <c r="A6" s="9" t="s">
        <v>74</v>
      </c>
      <c r="B6" s="10" t="n">
        <v>395700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7" activeCellId="0" sqref="C7"/>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3</v>
      </c>
      <c r="B1" s="3" t="s">
        <v>73</v>
      </c>
    </row>
    <row r="2" customFormat="false" ht="12.8" hidden="false" customHeight="false" outlineLevel="0" collapsed="false">
      <c r="A2" s="4" t="s">
        <v>12</v>
      </c>
      <c r="B2" s="5" t="n">
        <v>358100</v>
      </c>
    </row>
    <row r="3" customFormat="false" ht="12.8" hidden="false" customHeight="false" outlineLevel="0" collapsed="false">
      <c r="A3" s="6" t="s">
        <v>34</v>
      </c>
      <c r="B3" s="7" t="n">
        <v>34000</v>
      </c>
    </row>
    <row r="4" customFormat="false" ht="12.8" hidden="false" customHeight="false" outlineLevel="0" collapsed="false">
      <c r="A4" s="6" t="s">
        <v>45</v>
      </c>
      <c r="B4" s="8" t="n">
        <v>3600</v>
      </c>
    </row>
    <row r="5" customFormat="false" ht="12.8" hidden="false" customHeight="false" outlineLevel="0" collapsed="false">
      <c r="A5" s="9" t="s">
        <v>74</v>
      </c>
      <c r="B5" s="10" t="n">
        <v>395700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H47"/>
  <sheetViews>
    <sheetView showFormulas="false" showGridLines="true" showRowColHeaders="true" showZeros="true" rightToLeft="false" tabSelected="false" showOutlineSymbols="true" defaultGridColor="true" view="normal" topLeftCell="A4" colorId="64" zoomScale="95" zoomScaleNormal="95" zoomScalePageLayoutView="100" workbookViewId="0">
      <selection pane="topLeft" activeCell="M24" activeCellId="0" sqref="M24"/>
    </sheetView>
  </sheetViews>
  <sheetFormatPr defaultRowHeight="12.8" zeroHeight="false" outlineLevelRow="0" outlineLevelCol="0"/>
  <cols>
    <col collapsed="false" customWidth="true" hidden="false" outlineLevel="0" max="1" min="1" style="0" width="56.55"/>
    <col collapsed="false" customWidth="false" hidden="false" outlineLevel="0" max="6" min="2" style="0" width="11.52"/>
    <col collapsed="false" customWidth="true" hidden="false" outlineLevel="0" max="7" min="7" style="0" width="24.88"/>
    <col collapsed="false" customWidth="false" hidden="false" outlineLevel="0" max="1025" min="8" style="0" width="11.52"/>
  </cols>
  <sheetData>
    <row r="1" customFormat="false" ht="16.5" hidden="false" customHeight="false" outlineLevel="0" collapsed="false">
      <c r="A1" s="15" t="s">
        <v>76</v>
      </c>
    </row>
    <row r="2" customFormat="false" ht="14.5" hidden="false" customHeight="false" outlineLevel="0" collapsed="false">
      <c r="A2" s="16" t="s">
        <v>77</v>
      </c>
    </row>
    <row r="4" customFormat="false" ht="24" hidden="false" customHeight="false" outlineLevel="0" collapsed="false">
      <c r="A4" s="17" t="s">
        <v>78</v>
      </c>
      <c r="B4" s="18"/>
      <c r="C4" s="18" t="s">
        <v>79</v>
      </c>
      <c r="D4" s="19"/>
      <c r="E4" s="18" t="s">
        <v>80</v>
      </c>
      <c r="F4" s="19"/>
      <c r="G4" s="18" t="s">
        <v>81</v>
      </c>
    </row>
    <row r="5" customFormat="false" ht="12.8" hidden="false" customHeight="false" outlineLevel="0" collapsed="false">
      <c r="A5" s="20" t="n">
        <f aca="false">SUM(cleaned_ecommerce_sales!I2:I1000)</f>
        <v>395700</v>
      </c>
      <c r="C5" s="0" t="n">
        <f aca="false">COUNTA(cleaned_ecommerce_sales!A2:A1000)</f>
        <v>19</v>
      </c>
      <c r="E5" s="0" t="n">
        <f aca="false">SUM(cleaned_ecommerce_sales!E2:E1000)</f>
        <v>43</v>
      </c>
      <c r="G5" s="21" t="n">
        <f aca="false">A5/C5</f>
        <v>20826.3157894737</v>
      </c>
    </row>
    <row r="8" customFormat="false" ht="13" hidden="false" customHeight="false" outlineLevel="0" collapsed="false">
      <c r="A8" s="22" t="s">
        <v>82</v>
      </c>
      <c r="G8" s="18" t="s">
        <v>83</v>
      </c>
    </row>
    <row r="9" customFormat="false" ht="13" hidden="false" customHeight="false" outlineLevel="0" collapsed="false">
      <c r="A9" s="0" t="s">
        <v>84</v>
      </c>
      <c r="B9" s="23" t="s">
        <v>85</v>
      </c>
      <c r="G9" s="23" t="s">
        <v>86</v>
      </c>
      <c r="H9" s="0" t="s">
        <v>87</v>
      </c>
    </row>
    <row r="10" customFormat="false" ht="12.8" hidden="false" customHeight="false" outlineLevel="0" collapsed="false">
      <c r="A10" s="0" t="s">
        <v>12</v>
      </c>
      <c r="B10" s="21" t="n">
        <f aca="false">SUMIF(cleaned_ecommerce_sales!D2:D1000,A10,cleaned_ecommerce_sales!I2:I1000)</f>
        <v>358100</v>
      </c>
      <c r="G10" s="0" t="s">
        <v>11</v>
      </c>
      <c r="H10" s="21" t="n">
        <f aca="false">SUMIF(cleaned_ecommerce_sales!C2:C1000,G10,cleaned_ecommerce_sales!I2:I1000)</f>
        <v>227000</v>
      </c>
    </row>
    <row r="11" customFormat="false" ht="12.8" hidden="false" customHeight="false" outlineLevel="0" collapsed="false">
      <c r="A11" s="0" t="s">
        <v>34</v>
      </c>
      <c r="B11" s="21" t="n">
        <f aca="false">SUMIF(cleaned_ecommerce_sales!D3:D1001,A11,cleaned_ecommerce_sales!I3:I1001)</f>
        <v>34000</v>
      </c>
      <c r="G11" s="0" t="s">
        <v>25</v>
      </c>
      <c r="H11" s="21" t="n">
        <f aca="false">SUMIF(cleaned_ecommerce_sales!C5:C1003,G11,cleaned_ecommerce_sales!I5:I1003)</f>
        <v>75000</v>
      </c>
    </row>
    <row r="12" customFormat="false" ht="12.8" hidden="false" customHeight="false" outlineLevel="0" collapsed="false">
      <c r="A12" s="0" t="s">
        <v>45</v>
      </c>
      <c r="B12" s="21" t="n">
        <f aca="false">SUMIF(cleaned_ecommerce_sales!D4:D1002,A12,cleaned_ecommerce_sales!I4:I1002)</f>
        <v>3600</v>
      </c>
      <c r="G12" s="0" t="s">
        <v>33</v>
      </c>
      <c r="H12" s="21" t="n">
        <f aca="false">SUMIF(cleaned_ecommerce_sales!C6:C1004,G12,cleaned_ecommerce_sales!I6:I1004)</f>
        <v>34000</v>
      </c>
    </row>
    <row r="13" customFormat="false" ht="12.8" hidden="false" customHeight="false" outlineLevel="0" collapsed="false">
      <c r="G13" s="0" t="s">
        <v>41</v>
      </c>
      <c r="H13" s="21" t="n">
        <f aca="false">SUMIF(cleaned_ecommerce_sales!C7:C1005,G13,cleaned_ecommerce_sales!I7:I1005)</f>
        <v>31500</v>
      </c>
    </row>
    <row r="14" customFormat="false" ht="12.8" hidden="false" customHeight="false" outlineLevel="0" collapsed="false">
      <c r="G14" s="0" t="s">
        <v>21</v>
      </c>
      <c r="H14" s="21" t="n">
        <f aca="false">SUMIF(cleaned_ecommerce_sales!C4:C1002,G14,cleaned_ecommerce_sales!I4:I1002)</f>
        <v>16200</v>
      </c>
    </row>
    <row r="15" customFormat="false" ht="12.8" hidden="false" customHeight="false" outlineLevel="0" collapsed="false">
      <c r="G15" s="0" t="s">
        <v>17</v>
      </c>
      <c r="H15" s="21" t="n">
        <f aca="false">SUMIF(cleaned_ecommerce_sales!C3:C1001,G15,cleaned_ecommerce_sales!I3:I1001)</f>
        <v>12000</v>
      </c>
    </row>
    <row r="39" customFormat="false" ht="12.8" hidden="false" customHeight="false" outlineLevel="0" collapsed="false">
      <c r="A39" s="22" t="s">
        <v>88</v>
      </c>
      <c r="G39" s="22" t="s">
        <v>89</v>
      </c>
      <c r="H39" s="0" t="s">
        <v>90</v>
      </c>
    </row>
    <row r="40" customFormat="false" ht="12.8" hidden="false" customHeight="false" outlineLevel="0" collapsed="false">
      <c r="A40" s="0" t="s">
        <v>91</v>
      </c>
      <c r="B40" s="0" t="s">
        <v>85</v>
      </c>
      <c r="G40" s="0" t="s">
        <v>92</v>
      </c>
      <c r="H40" s="0" t="s">
        <v>85</v>
      </c>
    </row>
    <row r="41" customFormat="false" ht="12.8" hidden="false" customHeight="false" outlineLevel="0" collapsed="false">
      <c r="A41" s="0" t="s">
        <v>14</v>
      </c>
      <c r="B41" s="21" t="n">
        <f aca="false">SUMIF(cleaned_ecommerce_sales!H2:H1000,A41,cleaned_ecommerce_sales!I2:I1000)</f>
        <v>258700</v>
      </c>
      <c r="G41" s="0" t="s">
        <v>93</v>
      </c>
      <c r="H41" s="21" t="n">
        <v>395700</v>
      </c>
    </row>
    <row r="42" customFormat="false" ht="12.8" hidden="false" customHeight="false" outlineLevel="0" collapsed="false">
      <c r="A42" s="0" t="s">
        <v>27</v>
      </c>
      <c r="B42" s="21" t="n">
        <f aca="false">SUMIF(cleaned_ecommerce_sales!H3:H1001,A42,cleaned_ecommerce_sales!I3:I1001)</f>
        <v>82000</v>
      </c>
    </row>
    <row r="43" customFormat="false" ht="12.8" hidden="false" customHeight="false" outlineLevel="0" collapsed="false">
      <c r="A43" s="0" t="s">
        <v>43</v>
      </c>
      <c r="B43" s="21" t="n">
        <f aca="false">SUMIF(cleaned_ecommerce_sales!H4:H1002,A43,cleaned_ecommerce_sales!I4:I1002)</f>
        <v>21000</v>
      </c>
    </row>
    <row r="44" customFormat="false" ht="12.8" hidden="false" customHeight="false" outlineLevel="0" collapsed="false">
      <c r="A44" s="0" t="s">
        <v>36</v>
      </c>
      <c r="B44" s="21" t="n">
        <f aca="false">SUMIF(cleaned_ecommerce_sales!H5:H1003,A44,cleaned_ecommerce_sales!I5:I1003)</f>
        <v>34000</v>
      </c>
    </row>
    <row r="47" customFormat="false" ht="12.8" hidden="false" customHeight="false" outlineLevel="0" collapsed="false">
      <c r="A47" s="23"/>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22" activeCellId="0" sqref="A22"/>
    </sheetView>
  </sheetViews>
  <sheetFormatPr defaultRowHeight="12.8" zeroHeight="false" outlineLevelRow="0" outlineLevelCol="0"/>
  <cols>
    <col collapsed="false" customWidth="true" hidden="false" outlineLevel="0" max="1" min="1" style="0" width="110.67"/>
    <col collapsed="false" customWidth="false" hidden="false" outlineLevel="0" max="1025" min="2" style="0" width="11.52"/>
  </cols>
  <sheetData>
    <row r="1" customFormat="false" ht="12.8" hidden="false" customHeight="false" outlineLevel="0" collapsed="false">
      <c r="A1" s="0" t="s">
        <v>94</v>
      </c>
    </row>
    <row r="3" customFormat="false" ht="12.8" hidden="false" customHeight="false" outlineLevel="0" collapsed="false">
      <c r="A3" s="0" t="s">
        <v>95</v>
      </c>
    </row>
    <row r="4" customFormat="false" ht="12.8" hidden="false" customHeight="false" outlineLevel="0" collapsed="false">
      <c r="A4" s="0" t="s">
        <v>96</v>
      </c>
    </row>
    <row r="5" customFormat="false" ht="12.8" hidden="false" customHeight="false" outlineLevel="0" collapsed="false">
      <c r="A5" s="0" t="s">
        <v>97</v>
      </c>
    </row>
    <row r="6" customFormat="false" ht="12.8" hidden="false" customHeight="false" outlineLevel="0" collapsed="false">
      <c r="A6" s="0" t="s">
        <v>98</v>
      </c>
    </row>
    <row r="7" customFormat="false" ht="12.8" hidden="false" customHeight="false" outlineLevel="0" collapsed="false">
      <c r="A7" s="0" t="s">
        <v>99</v>
      </c>
    </row>
    <row r="8" customFormat="false" ht="12.8" hidden="false" customHeight="false" outlineLevel="0" collapsed="false">
      <c r="A8" s="0" t="s">
        <v>100</v>
      </c>
    </row>
    <row r="9" customFormat="false" ht="12.8" hidden="false" customHeight="false" outlineLevel="0" collapsed="false">
      <c r="A9" s="0" t="s">
        <v>101</v>
      </c>
    </row>
    <row r="11" customFormat="false" ht="12.8" hidden="false" customHeight="false" outlineLevel="0" collapsed="false">
      <c r="A11" s="0" t="s">
        <v>102</v>
      </c>
    </row>
    <row r="12" customFormat="false" ht="12.8" hidden="false" customHeight="false" outlineLevel="0" collapsed="false">
      <c r="A12" s="0" t="s">
        <v>103</v>
      </c>
    </row>
    <row r="13" customFormat="false" ht="12.8" hidden="false" customHeight="false" outlineLevel="0" collapsed="false">
      <c r="A13" s="0" t="s">
        <v>104</v>
      </c>
    </row>
    <row r="14" customFormat="false" ht="12.8" hidden="false" customHeight="false" outlineLevel="0" collapsed="false">
      <c r="A14" s="0" t="s">
        <v>105</v>
      </c>
    </row>
    <row r="15" customFormat="false" ht="12.8" hidden="false" customHeight="false" outlineLevel="0" collapsed="false">
      <c r="A15" s="0" t="s">
        <v>106</v>
      </c>
    </row>
    <row r="16" customFormat="false" ht="12.8" hidden="false" customHeight="false" outlineLevel="0" collapsed="false">
      <c r="A16" s="0" t="s">
        <v>107</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20" activeCellId="0" sqref="A20"/>
    </sheetView>
  </sheetViews>
  <sheetFormatPr defaultRowHeight="12.8" zeroHeight="false" outlineLevelRow="0" outlineLevelCol="0"/>
  <cols>
    <col collapsed="false" customWidth="true" hidden="false" outlineLevel="0" max="1" min="1" style="0" width="50.63"/>
    <col collapsed="false" customWidth="false" hidden="false" outlineLevel="0" max="3" min="2" style="0" width="11.52"/>
    <col collapsed="false" customWidth="true" hidden="false" outlineLevel="0" max="4" min="4" style="0" width="21.71"/>
    <col collapsed="false" customWidth="true" hidden="false" outlineLevel="0" max="5" min="5" style="0" width="32.62"/>
    <col collapsed="false" customWidth="false" hidden="false" outlineLevel="0" max="1025" min="6" style="0" width="11.52"/>
  </cols>
  <sheetData>
    <row r="1" customFormat="false" ht="15" hidden="false" customHeight="false" outlineLevel="0" collapsed="false">
      <c r="A1" s="24" t="s">
        <v>108</v>
      </c>
      <c r="B1" s="24"/>
    </row>
    <row r="2" customFormat="false" ht="12.8" hidden="false" customHeight="false" outlineLevel="0" collapsed="false">
      <c r="A2" s="0" t="s">
        <v>109</v>
      </c>
    </row>
    <row r="4" customFormat="false" ht="12.8" hidden="false" customHeight="false" outlineLevel="0" collapsed="false">
      <c r="A4" s="25" t="s">
        <v>110</v>
      </c>
      <c r="B4" s="25" t="s">
        <v>111</v>
      </c>
      <c r="D4" s="0" t="s">
        <v>112</v>
      </c>
      <c r="E4" s="0" t="s">
        <v>113</v>
      </c>
    </row>
    <row r="5" customFormat="false" ht="12.8" hidden="false" customHeight="false" outlineLevel="0" collapsed="false">
      <c r="A5" s="26" t="s">
        <v>78</v>
      </c>
      <c r="B5" s="27" t="n">
        <f aca="false">SUM(cleaned_ecommerce_sales!I2:I20)</f>
        <v>395700</v>
      </c>
      <c r="D5" s="0" t="s">
        <v>114</v>
      </c>
      <c r="E5" s="0" t="s">
        <v>12</v>
      </c>
    </row>
    <row r="6" customFormat="false" ht="12.8" hidden="false" customHeight="false" outlineLevel="0" collapsed="false">
      <c r="A6" s="26" t="s">
        <v>115</v>
      </c>
      <c r="B6" s="28" t="n">
        <f aca="false">COUNTA(cleaned_ecommerce_sales!A2:A20)</f>
        <v>19</v>
      </c>
      <c r="D6" s="0" t="s">
        <v>116</v>
      </c>
      <c r="E6" s="0" t="s">
        <v>14</v>
      </c>
    </row>
    <row r="7" customFormat="false" ht="12.8" hidden="false" customHeight="false" outlineLevel="0" collapsed="false">
      <c r="A7" s="26" t="s">
        <v>80</v>
      </c>
      <c r="B7" s="28" t="n">
        <f aca="false">SUM(cleaned_ecommerce_sales!E2:E20)</f>
        <v>43</v>
      </c>
      <c r="D7" s="0" t="s">
        <v>117</v>
      </c>
      <c r="E7" s="0" t="s">
        <v>11</v>
      </c>
    </row>
    <row r="8" customFormat="false" ht="12.8" hidden="false" customHeight="false" outlineLevel="0" collapsed="false">
      <c r="A8" s="29" t="s">
        <v>81</v>
      </c>
      <c r="B8" s="30" t="n">
        <f aca="false">B5/B6</f>
        <v>20826.3157894737</v>
      </c>
      <c r="D8" s="0" t="s">
        <v>118</v>
      </c>
    </row>
    <row r="10" customFormat="false" ht="12.8" hidden="false" customHeight="false" outlineLevel="0" collapsed="false">
      <c r="A10" s="0" t="s">
        <v>119</v>
      </c>
      <c r="D10" s="0" t="s">
        <v>120</v>
      </c>
      <c r="E10" s="0" t="s">
        <v>121</v>
      </c>
    </row>
    <row r="11" customFormat="false" ht="12.8" hidden="false" customHeight="false" outlineLevel="0" collapsed="false">
      <c r="A11" s="0" t="s">
        <v>122</v>
      </c>
    </row>
    <row r="12" customFormat="false" ht="12.8" hidden="false" customHeight="false" outlineLevel="0" collapsed="false">
      <c r="A12" s="0" t="s">
        <v>123</v>
      </c>
    </row>
    <row r="13" customFormat="false" ht="12.8" hidden="false" customHeight="false" outlineLevel="0" collapsed="false">
      <c r="A13" s="0" t="s">
        <v>124</v>
      </c>
    </row>
    <row r="14" customFormat="false" ht="12.8" hidden="false" customHeight="false" outlineLevel="0" collapsed="false">
      <c r="A14" s="0" t="s">
        <v>125</v>
      </c>
    </row>
    <row r="16" customFormat="false" ht="12.8" hidden="false" customHeight="false" outlineLevel="0" collapsed="false">
      <c r="A16" s="22" t="s">
        <v>126</v>
      </c>
    </row>
    <row r="17" customFormat="false" ht="12.8" hidden="false" customHeight="false" outlineLevel="0" collapsed="false">
      <c r="A17" s="0" t="s">
        <v>127</v>
      </c>
    </row>
  </sheetData>
  <mergeCells count="1">
    <mergeCell ref="A1:B1"/>
  </mergeCells>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B53"/>
  <sheetViews>
    <sheetView showFormulas="false" showGridLines="true" showRowColHeaders="true" showZeros="true" rightToLeft="false" tabSelected="true" showOutlineSymbols="true" defaultGridColor="true" view="normal" topLeftCell="A31" colorId="64" zoomScale="95" zoomScaleNormal="95" zoomScalePageLayoutView="100" workbookViewId="0">
      <selection pane="topLeft" activeCell="B46" activeCellId="0" sqref="B46"/>
    </sheetView>
  </sheetViews>
  <sheetFormatPr defaultRowHeight="12.8" zeroHeight="false" outlineLevelRow="0" outlineLevelCol="0"/>
  <cols>
    <col collapsed="false" customWidth="true" hidden="false" outlineLevel="0" max="1" min="1" style="31" width="150.48"/>
    <col collapsed="false" customWidth="false" hidden="false" outlineLevel="0" max="1025" min="2" style="31" width="11.52"/>
  </cols>
  <sheetData>
    <row r="1" customFormat="false" ht="12.8" hidden="false" customHeight="false" outlineLevel="0" collapsed="false">
      <c r="A1" s="32" t="s">
        <v>128</v>
      </c>
      <c r="B1" s="32"/>
    </row>
    <row r="2" customFormat="false" ht="12.8" hidden="false" customHeight="false" outlineLevel="0" collapsed="false">
      <c r="A2" s="32" t="s">
        <v>129</v>
      </c>
    </row>
    <row r="4" customFormat="false" ht="12.8" hidden="false" customHeight="false" outlineLevel="0" collapsed="false">
      <c r="A4" s="33" t="s">
        <v>130</v>
      </c>
    </row>
    <row r="5" customFormat="false" ht="12.8" hidden="false" customHeight="false" outlineLevel="0" collapsed="false">
      <c r="A5" s="31" t="s">
        <v>96</v>
      </c>
    </row>
    <row r="6" customFormat="false" ht="12.8" hidden="false" customHeight="false" outlineLevel="0" collapsed="false">
      <c r="A6" s="31" t="s">
        <v>131</v>
      </c>
    </row>
    <row r="7" customFormat="false" ht="12.8" hidden="false" customHeight="false" outlineLevel="0" collapsed="false">
      <c r="A7" s="31" t="s">
        <v>132</v>
      </c>
    </row>
    <row r="8" customFormat="false" ht="12.8" hidden="false" customHeight="false" outlineLevel="0" collapsed="false">
      <c r="A8" s="31" t="s">
        <v>133</v>
      </c>
    </row>
    <row r="9" customFormat="false" ht="12.8" hidden="false" customHeight="false" outlineLevel="0" collapsed="false">
      <c r="A9" s="31" t="s">
        <v>99</v>
      </c>
    </row>
    <row r="10" customFormat="false" ht="12.8" hidden="false" customHeight="false" outlineLevel="0" collapsed="false">
      <c r="A10" s="31" t="s">
        <v>134</v>
      </c>
    </row>
    <row r="12" customFormat="false" ht="12.8" hidden="false" customHeight="false" outlineLevel="0" collapsed="false">
      <c r="A12" s="32" t="s">
        <v>95</v>
      </c>
    </row>
    <row r="13" customFormat="false" ht="12.8" hidden="false" customHeight="false" outlineLevel="0" collapsed="false">
      <c r="A13" s="31" t="s">
        <v>135</v>
      </c>
    </row>
    <row r="14" customFormat="false" ht="12.8" hidden="false" customHeight="false" outlineLevel="0" collapsed="false">
      <c r="A14" s="31" t="s">
        <v>136</v>
      </c>
    </row>
    <row r="15" customFormat="false" ht="12.8" hidden="false" customHeight="false" outlineLevel="0" collapsed="false">
      <c r="A15" s="34" t="s">
        <v>137</v>
      </c>
    </row>
    <row r="17" customFormat="false" ht="12.8" hidden="false" customHeight="false" outlineLevel="0" collapsed="false">
      <c r="A17" s="31" t="s">
        <v>138</v>
      </c>
    </row>
    <row r="18" customFormat="false" ht="12.8" hidden="false" customHeight="false" outlineLevel="0" collapsed="false">
      <c r="A18" s="34" t="s">
        <v>139</v>
      </c>
    </row>
    <row r="19" customFormat="false" ht="12.8" hidden="false" customHeight="false" outlineLevel="0" collapsed="false">
      <c r="A19" s="34" t="s">
        <v>140</v>
      </c>
    </row>
    <row r="21" customFormat="false" ht="12.8" hidden="false" customHeight="false" outlineLevel="0" collapsed="false">
      <c r="A21" s="34" t="s">
        <v>141</v>
      </c>
    </row>
    <row r="22" customFormat="false" ht="12.8" hidden="false" customHeight="false" outlineLevel="0" collapsed="false">
      <c r="A22" s="34" t="s">
        <v>142</v>
      </c>
    </row>
    <row r="23" customFormat="false" ht="12.8" hidden="false" customHeight="false" outlineLevel="0" collapsed="false">
      <c r="A23" s="34" t="s">
        <v>143</v>
      </c>
    </row>
    <row r="25" customFormat="false" ht="12.8" hidden="false" customHeight="false" outlineLevel="0" collapsed="false">
      <c r="A25" s="34" t="s">
        <v>144</v>
      </c>
    </row>
    <row r="26" customFormat="false" ht="12.8" hidden="false" customHeight="false" outlineLevel="0" collapsed="false">
      <c r="A26" s="34" t="s">
        <v>145</v>
      </c>
    </row>
    <row r="28" customFormat="false" ht="12.8" hidden="false" customHeight="false" outlineLevel="0" collapsed="false">
      <c r="A28" s="34" t="s">
        <v>146</v>
      </c>
    </row>
    <row r="29" customFormat="false" ht="12.8" hidden="false" customHeight="false" outlineLevel="0" collapsed="false">
      <c r="A29" s="34" t="s">
        <v>147</v>
      </c>
    </row>
    <row r="31" customFormat="false" ht="12.8" hidden="false" customHeight="false" outlineLevel="0" collapsed="false">
      <c r="A31" s="18" t="s">
        <v>148</v>
      </c>
    </row>
    <row r="32" customFormat="false" ht="12.8" hidden="false" customHeight="false" outlineLevel="0" collapsed="false">
      <c r="A32" s="23" t="s">
        <v>149</v>
      </c>
    </row>
    <row r="33" customFormat="false" ht="12.8" hidden="false" customHeight="false" outlineLevel="0" collapsed="false">
      <c r="A33" s="23" t="s">
        <v>150</v>
      </c>
    </row>
    <row r="34" customFormat="false" ht="12.8" hidden="false" customHeight="false" outlineLevel="0" collapsed="false">
      <c r="A34" s="23" t="s">
        <v>151</v>
      </c>
    </row>
    <row r="35" customFormat="false" ht="12.8" hidden="false" customHeight="false" outlineLevel="0" collapsed="false">
      <c r="A35" s="23" t="s">
        <v>152</v>
      </c>
    </row>
    <row r="36" customFormat="false" ht="12.8" hidden="false" customHeight="false" outlineLevel="0" collapsed="false">
      <c r="A36" s="23" t="s">
        <v>153</v>
      </c>
    </row>
    <row r="38" customFormat="false" ht="12.8" hidden="false" customHeight="false" outlineLevel="0" collapsed="false">
      <c r="A38" s="35" t="s">
        <v>154</v>
      </c>
    </row>
    <row r="39" customFormat="false" ht="12.8" hidden="false" customHeight="false" outlineLevel="0" collapsed="false">
      <c r="A39" s="36" t="s">
        <v>155</v>
      </c>
    </row>
    <row r="40" customFormat="false" ht="12.8" hidden="false" customHeight="false" outlineLevel="0" collapsed="false">
      <c r="A40" s="36" t="s">
        <v>156</v>
      </c>
    </row>
    <row r="41" customFormat="false" ht="12.8" hidden="false" customHeight="false" outlineLevel="0" collapsed="false">
      <c r="A41" s="36" t="s">
        <v>157</v>
      </c>
    </row>
    <row r="42" customFormat="false" ht="12.8" hidden="false" customHeight="false" outlineLevel="0" collapsed="false">
      <c r="A42" s="36" t="s">
        <v>158</v>
      </c>
    </row>
    <row r="43" customFormat="false" ht="12.8" hidden="false" customHeight="false" outlineLevel="0" collapsed="false">
      <c r="A43" s="37" t="s">
        <v>159</v>
      </c>
    </row>
    <row r="45" customFormat="false" ht="12.8" hidden="false" customHeight="false" outlineLevel="0" collapsed="false">
      <c r="A45" s="18" t="s">
        <v>160</v>
      </c>
    </row>
    <row r="46" customFormat="false" ht="23.15" hidden="false" customHeight="false" outlineLevel="0" collapsed="false">
      <c r="A46" s="23" t="s">
        <v>161</v>
      </c>
    </row>
    <row r="48" customFormat="false" ht="12.8" hidden="false" customHeight="false" outlineLevel="0" collapsed="false">
      <c r="A48" s="32" t="s">
        <v>162</v>
      </c>
    </row>
    <row r="49" customFormat="false" ht="12.8" hidden="false" customHeight="false" outlineLevel="0" collapsed="false">
      <c r="A49" s="23" t="s">
        <v>163</v>
      </c>
    </row>
    <row r="50" customFormat="false" ht="12.8" hidden="false" customHeight="false" outlineLevel="0" collapsed="false">
      <c r="A50" s="23" t="s">
        <v>164</v>
      </c>
    </row>
    <row r="51" customFormat="false" ht="12.8" hidden="false" customHeight="false" outlineLevel="0" collapsed="false">
      <c r="A51" s="23" t="s">
        <v>165</v>
      </c>
    </row>
    <row r="52" customFormat="false" ht="12.8" hidden="false" customHeight="false" outlineLevel="0" collapsed="false">
      <c r="A52" s="23" t="s">
        <v>166</v>
      </c>
    </row>
    <row r="53" customFormat="false" ht="12.8" hidden="false" customHeight="false" outlineLevel="0" collapsed="false">
      <c r="A53" s="23" t="s">
        <v>167</v>
      </c>
    </row>
  </sheetData>
  <mergeCells count="1">
    <mergeCell ref="A1:B1"/>
  </mergeCells>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17</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2026-09-20T16:01:07Z</dcterms:modified>
  <cp:revision>6</cp:revision>
  <dc:subject/>
  <dc:title/>
</cp:coreProperties>
</file>